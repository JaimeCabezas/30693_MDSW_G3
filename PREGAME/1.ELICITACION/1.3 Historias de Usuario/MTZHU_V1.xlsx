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d8809a88932ed5d/Desktop/G3_U1T3/"/>
    </mc:Choice>
  </mc:AlternateContent>
  <xr:revisionPtr revIDLastSave="3" documentId="8_{A5527075-0F4D-4BE4-9049-D2935838D3E3}" xr6:coauthVersionLast="47" xr6:coauthVersionMax="47" xr10:uidLastSave="{45076DE3-D49E-4C00-931D-140626B3D769}"/>
  <bookViews>
    <workbookView xWindow="-120" yWindow="-120" windowWidth="29040" windowHeight="1572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EEwAAk1yeOpjPSIentOBUH5eyqA=="/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<sst xmlns="http://schemas.openxmlformats.org/spreadsheetml/2006/main" count="78" uniqueCount="63">
  <si>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</si>
  <si>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</si>
  <si>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</si>
  <si>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</si>
  <si>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</si>
  <si>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</si>
  <si>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</si>
  <si>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</si>
  <si>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</si>
  <si>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</si>
  <si>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</si>
  <si>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</si>
  <si>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</si>
  <si>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</si>
  <si>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</si>
  <si>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</si>
  <si>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</si>
  <si>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</si>
  <si>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</si>
  <si>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</si>
  <si>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</si>
  <si>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</si>
  <si>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</si>
  <si>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</si>
  <si>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</si>
  <si>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</si>
  <si>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</si>
  <si>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</si>
  <si>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</si>
  <si>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</si>
  <si>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</si>
  <si>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</si>
  <si>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</si>
  <si>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El sistema debe tener un usuario Admin con credenciales únicas.</t>
  </si>
  <si>
    <t>Administrador</t>
  </si>
  <si>
    <t>Jaime Cabezas</t>
  </si>
  <si>
    <t>5 hrs</t>
  </si>
  <si>
    <t>Sprint 1</t>
  </si>
  <si>
    <t>Se intenta entrar con el usuario Admin y el sistema permite ver el panel de gestión.</t>
  </si>
  <si>
    <t>REQ003</t>
  </si>
  <si>
    <t>No se pueden registrar nuevos traductores al equipo.</t>
  </si>
  <si>
    <t>El sistema debe permitir al Admin registrar nuevos colaboradores.</t>
  </si>
  <si>
    <t>Empezar a armar la base de datos de los traductores que trabajan para la agencia.</t>
  </si>
  <si>
    <t>Diseñar un formulario donde el Admin ingrese: Nombre, Correo y especialidad del traductor.</t>
  </si>
  <si>
    <t>Bryan Cevallos</t>
  </si>
  <si>
    <t>7 hrs</t>
  </si>
  <si>
    <t>El Admin llena el formulario, guarda y el nuevo traductor aparece en la base de datos.</t>
  </si>
  <si>
    <t>No se puede corregir información o quitar traductores.</t>
  </si>
  <si>
    <t>El sistema debe permitir editar o dar de baja a los usuarios.</t>
  </si>
  <si>
    <t>Crear una tabla con la lista de usuarios y botones para modificar datos o desactivar cuentas.</t>
  </si>
  <si>
    <t>Jelen Lucio</t>
  </si>
  <si>
    <t>6 hrs</t>
  </si>
  <si>
    <t>Se cambia el nombre de un traductor en la tabla y se verifica que el cambio se guardó.</t>
  </si>
  <si>
    <t>Gestión y edición de usuarios</t>
  </si>
  <si>
    <t>"Configurar un usuario maestro por defecto para la primera entrada"</t>
  </si>
  <si>
    <t>"Incluir botón de confirmación antes de borrar a un usuario"</t>
  </si>
  <si>
    <t>Acceso del Administrador</t>
  </si>
  <si>
    <t>Registro de nuevos usuarios</t>
  </si>
  <si>
    <t>"Validar los datos personales para que sea único para que no haya usuarios repetidos"</t>
  </si>
  <si>
    <t>No hay una cuenta de administrador</t>
  </si>
  <si>
    <t>Mantener la lista de traductores actualizada y corregir errores.</t>
  </si>
  <si>
    <t>Crear  un perfil "Admin" con su contraseña y permisos de acceso total.</t>
  </si>
  <si>
    <t xml:space="preserve">Asegurar que solo el admi pueda gestionar a los traductores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</si>
</sst>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4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vertical="center"/>
    </xf>
    <xf numFmtId="0" fontId="2" fillId="3" borderId="6" xfId="0" applyFont="1" applyFill="1" applyBorder="1"/>
    <xf numFmtId="0" fontId="13" fillId="5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/>
    </xf>
    <xf numFmtId="0" fontId="13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3" borderId="21" xfId="0" applyFont="1" applyFill="1" applyBorder="1"/>
    <xf numFmtId="0" fontId="2" fillId="3" borderId="22" xfId="0" applyFont="1" applyFill="1" applyBorder="1"/>
    <xf numFmtId="0" fontId="2" fillId="3" borderId="23" xfId="0" applyFont="1" applyFill="1" applyBorder="1"/>
    <xf numFmtId="0" fontId="2" fillId="3" borderId="8" xfId="0" applyFont="1" applyFill="1" applyBorder="1"/>
    <xf numFmtId="0" fontId="8" fillId="3" borderId="10" xfId="0" applyFont="1" applyFill="1" applyBorder="1" applyAlignment="1">
      <alignment horizontal="left" vertical="center" wrapText="1"/>
    </xf>
    <xf numFmtId="0" fontId="1" fillId="3" borderId="10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0" borderId="6" xfId="0" applyBorder="1"/>
    <xf numFmtId="0" fontId="5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 wrapText="1"/>
    </xf>
    <xf numFmtId="0" fontId="14" fillId="0" borderId="24" xfId="0" applyFont="1" applyBorder="1" applyAlignment="1">
      <alignment horizontal="center" vertical="center" wrapText="1"/>
    </xf>
    <xf numFmtId="164" fontId="14" fillId="0" borderId="24" xfId="0" applyNumberFormat="1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 wrapText="1"/>
    </xf>
    <xf numFmtId="164" fontId="14" fillId="0" borderId="6" xfId="0" applyNumberFormat="1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21" fillId="6" borderId="7" xfId="0" applyFont="1" applyFill="1" applyBorder="1" applyAlignment="1">
      <alignment horizontal="center" vertical="center"/>
    </xf>
    <xf numFmtId="0" fontId="10" fillId="0" borderId="11" xfId="0" applyFont="1" applyBorder="1"/>
    <xf numFmtId="0" fontId="10" fillId="0" borderId="14" xfId="0" applyFont="1" applyBorder="1"/>
    <xf numFmtId="0" fontId="15" fillId="5" borderId="8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19" fillId="0" borderId="9" xfId="0" applyFont="1" applyBorder="1" applyAlignment="1">
      <alignment wrapText="1"/>
    </xf>
    <xf numFmtId="0" fontId="19" fillId="0" borderId="12" xfId="0" applyFont="1" applyBorder="1" applyAlignment="1">
      <alignment wrapText="1"/>
    </xf>
    <xf numFmtId="0" fontId="16" fillId="0" borderId="0" xfId="0" applyFont="1" applyAlignment="1">
      <alignment wrapText="1"/>
    </xf>
    <xf numFmtId="0" fontId="19" fillId="0" borderId="13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9" fillId="0" borderId="22" xfId="0" applyFont="1" applyBorder="1" applyAlignment="1">
      <alignment wrapText="1"/>
    </xf>
    <xf numFmtId="0" fontId="19" fillId="0" borderId="23" xfId="0" applyFont="1" applyBorder="1" applyAlignment="1">
      <alignment wrapText="1"/>
    </xf>
    <xf numFmtId="0" fontId="18" fillId="2" borderId="15" xfId="0" applyFont="1" applyFill="1" applyBorder="1" applyAlignment="1">
      <alignment horizontal="center" vertical="center"/>
    </xf>
    <xf numFmtId="0" fontId="10" fillId="0" borderId="16" xfId="0" applyFont="1" applyBorder="1"/>
    <xf numFmtId="0" fontId="10" fillId="0" borderId="17" xfId="0" applyFont="1" applyBorder="1"/>
    <xf numFmtId="0" fontId="10" fillId="0" borderId="18" xfId="0" applyFont="1" applyBorder="1"/>
    <xf numFmtId="0" fontId="10" fillId="0" borderId="19" xfId="0" applyFont="1" applyBorder="1"/>
    <xf numFmtId="0" fontId="10" fillId="0" borderId="20" xfId="0" applyFont="1" applyBorder="1"/>
    <xf numFmtId="0" fontId="11" fillId="4" borderId="3" xfId="0" applyFont="1" applyFill="1" applyBorder="1" applyAlignment="1">
      <alignment horizontal="center" vertical="center"/>
    </xf>
    <xf numFmtId="0" fontId="10" fillId="0" borderId="5" xfId="0" applyFont="1" applyBorder="1"/>
    <xf numFmtId="0" fontId="1" fillId="5" borderId="3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21" xfId="0" applyFont="1" applyBorder="1"/>
    <xf numFmtId="0" fontId="10" fillId="0" borderId="23" xfId="0" applyFont="1" applyBorder="1"/>
    <xf numFmtId="0" fontId="11" fillId="4" borderId="8" xfId="0" applyFont="1" applyFill="1" applyBorder="1" applyAlignment="1">
      <alignment horizontal="center" vertical="center"/>
    </xf>
    <xf numFmtId="0" fontId="10" fillId="0" borderId="12" xfId="0" applyFont="1" applyBorder="1"/>
    <xf numFmtId="0" fontId="10" fillId="0" borderId="13" xfId="0" applyFont="1" applyBorder="1"/>
    <xf numFmtId="0" fontId="1" fillId="5" borderId="8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wrapText="1"/>
    </xf>
    <xf numFmtId="0" fontId="10" fillId="0" borderId="9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0" fillId="0" borderId="13" xfId="0" applyFont="1" applyBorder="1" applyAlignment="1">
      <alignment wrapText="1"/>
    </xf>
    <xf numFmtId="0" fontId="10" fillId="0" borderId="21" xfId="0" applyFont="1" applyBorder="1" applyAlignment="1">
      <alignment wrapText="1"/>
    </xf>
    <xf numFmtId="0" fontId="10" fillId="0" borderId="22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9" fillId="3" borderId="3" xfId="0" applyFont="1" applyFill="1" applyBorder="1" applyAlignment="1">
      <alignment horizontal="center" vertical="center" wrapText="1"/>
    </xf>
    <xf numFmtId="0" fontId="10" fillId="0" borderId="4" xfId="0" applyFont="1" applyBorder="1"/>
    <xf numFmtId="0" fontId="1" fillId="5" borderId="3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10" fillId="0" borderId="22" xfId="0" applyFont="1" applyBorder="1"/>
    <xf numFmtId="0" fontId="23" fillId="0" borderId="2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2"/>
  <sheetViews>
    <sheetView showGridLines="0" tabSelected="1" zoomScale="115" zoomScaleNormal="115" workbookViewId="0">
      <selection activeCell="B3" sqref="B3:O3"/>
    </sheetView>
  </sheetViews>
  <sheetFormatPr baseColWidth="10" defaultColWidth="12.625" defaultRowHeight="15" customHeight="1" x14ac:dyDescent="0.2"/>
  <cols>
    <col min="1" max="1" width="2" customWidth="1"/>
    <col min="2" max="2" width="8" bestFit="1" customWidth="1"/>
    <col min="3" max="5" width="20.625" customWidth="1"/>
    <col min="6" max="6" width="15" customWidth="1"/>
    <col min="7" max="7" width="28.5" customWidth="1"/>
    <col min="8" max="12" width="10.625" customWidth="1"/>
    <col min="13" max="15" width="20.625" customWidth="1"/>
    <col min="16" max="26" width="9.25" customWidth="1"/>
  </cols>
  <sheetData>
    <row r="1" spans="2:16" x14ac:dyDescent="0.25">
      <c r="I1" s="1"/>
      <c r="J1" s="1"/>
      <c r="K1" s="2"/>
      <c r="L1" s="3"/>
    </row>
    <row r="2" spans="2:16" x14ac:dyDescent="0.25">
      <c r="I2" s="1"/>
      <c r="J2" s="1"/>
      <c r="K2" s="2"/>
      <c r="L2" s="3"/>
    </row>
    <row r="3" spans="2:16" ht="45" customHeight="1" x14ac:dyDescent="0.2">
      <c r="B3" s="45" t="s">
        <v>0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</row>
    <row r="4" spans="2:16" x14ac:dyDescent="0.25">
      <c r="H4" s="4"/>
      <c r="I4" s="1"/>
      <c r="J4" s="1"/>
      <c r="K4" s="2"/>
      <c r="L4" s="3"/>
    </row>
    <row r="5" spans="2:16" ht="39.75" customHeight="1" thickBot="1" x14ac:dyDescent="0.25">
      <c r="B5" s="5" t="s">
        <v>1</v>
      </c>
      <c r="C5" s="5" t="s">
        <v>2</v>
      </c>
      <c r="D5" s="37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63" customHeight="1" thickBot="1" x14ac:dyDescent="0.25">
      <c r="B6" s="100" t="s">
        <v>15</v>
      </c>
      <c r="C6" s="100" t="s">
        <v>59</v>
      </c>
      <c r="D6" s="100" t="s">
        <v>33</v>
      </c>
      <c r="E6" s="100" t="s">
        <v>62</v>
      </c>
      <c r="F6" s="100" t="s">
        <v>34</v>
      </c>
      <c r="G6" s="100" t="s">
        <v>61</v>
      </c>
      <c r="H6" s="100" t="s">
        <v>35</v>
      </c>
      <c r="I6" s="100" t="s">
        <v>36</v>
      </c>
      <c r="J6" s="100" t="s">
        <v>37</v>
      </c>
      <c r="K6" s="100" t="s">
        <v>16</v>
      </c>
      <c r="L6" s="100" t="s">
        <v>17</v>
      </c>
      <c r="M6" s="100" t="s">
        <v>38</v>
      </c>
      <c r="N6" s="100" t="s">
        <v>54</v>
      </c>
      <c r="O6" s="99" t="s">
        <v>56</v>
      </c>
    </row>
    <row r="7" spans="2:16" ht="67.5" customHeight="1" thickBot="1" x14ac:dyDescent="0.25">
      <c r="B7" s="100" t="s">
        <v>32</v>
      </c>
      <c r="C7" s="100" t="s">
        <v>40</v>
      </c>
      <c r="D7" s="100" t="s">
        <v>41</v>
      </c>
      <c r="E7" s="100" t="s">
        <v>42</v>
      </c>
      <c r="F7" s="100" t="s">
        <v>34</v>
      </c>
      <c r="G7" s="100" t="s">
        <v>43</v>
      </c>
      <c r="H7" s="100" t="s">
        <v>44</v>
      </c>
      <c r="I7" s="100" t="s">
        <v>45</v>
      </c>
      <c r="J7" s="100" t="s">
        <v>37</v>
      </c>
      <c r="K7" s="100" t="s">
        <v>16</v>
      </c>
      <c r="L7" s="100" t="s">
        <v>17</v>
      </c>
      <c r="M7" s="100" t="s">
        <v>46</v>
      </c>
      <c r="N7" s="100" t="s">
        <v>58</v>
      </c>
      <c r="O7" s="99" t="s">
        <v>57</v>
      </c>
    </row>
    <row r="8" spans="2:16" ht="77.25" customHeight="1" thickBot="1" x14ac:dyDescent="0.25">
      <c r="B8" s="100" t="s">
        <v>39</v>
      </c>
      <c r="C8" s="100" t="s">
        <v>47</v>
      </c>
      <c r="D8" s="100" t="s">
        <v>48</v>
      </c>
      <c r="E8" s="100" t="s">
        <v>60</v>
      </c>
      <c r="F8" s="100" t="s">
        <v>34</v>
      </c>
      <c r="G8" s="100" t="s">
        <v>49</v>
      </c>
      <c r="H8" s="100" t="s">
        <v>50</v>
      </c>
      <c r="I8" s="100" t="s">
        <v>51</v>
      </c>
      <c r="J8" s="100" t="s">
        <v>37</v>
      </c>
      <c r="K8" s="100" t="s">
        <v>16</v>
      </c>
      <c r="L8" s="100" t="s">
        <v>17</v>
      </c>
      <c r="M8" s="100" t="s">
        <v>52</v>
      </c>
      <c r="N8" s="100" t="s">
        <v>55</v>
      </c>
      <c r="O8" s="99" t="s">
        <v>53</v>
      </c>
      <c r="P8" s="28"/>
    </row>
    <row r="9" spans="2:16" ht="75" customHeight="1" x14ac:dyDescent="0.2">
      <c r="B9" s="38"/>
      <c r="C9" s="39"/>
      <c r="D9" s="35"/>
      <c r="E9" s="35"/>
      <c r="F9" s="35"/>
      <c r="G9" s="39"/>
      <c r="H9" s="39"/>
      <c r="I9" s="38"/>
      <c r="J9" s="36"/>
      <c r="K9" s="35"/>
      <c r="L9" s="35"/>
      <c r="M9" s="35"/>
      <c r="N9" s="39"/>
      <c r="O9" s="35"/>
      <c r="P9" s="28"/>
    </row>
    <row r="10" spans="2:16" ht="71.25" customHeight="1" x14ac:dyDescent="0.2">
      <c r="B10" s="44"/>
      <c r="C10" s="35"/>
      <c r="D10" s="35"/>
      <c r="E10" s="35"/>
      <c r="F10" s="35"/>
      <c r="G10" s="35"/>
      <c r="H10" s="39"/>
      <c r="I10" s="35"/>
      <c r="J10" s="36"/>
      <c r="K10" s="35"/>
      <c r="L10" s="35"/>
      <c r="M10" s="35"/>
      <c r="N10" s="39"/>
      <c r="O10" s="38"/>
    </row>
    <row r="11" spans="2:16" ht="114" customHeight="1" x14ac:dyDescent="0.2"/>
    <row r="12" spans="2:16" ht="14.25" x14ac:dyDescent="0.2">
      <c r="B12" s="40"/>
      <c r="C12" s="41"/>
      <c r="D12" s="41"/>
      <c r="E12" s="41"/>
      <c r="F12" s="41"/>
      <c r="G12" s="41"/>
      <c r="H12" s="41"/>
      <c r="I12" s="41"/>
      <c r="J12" s="42"/>
      <c r="K12" s="41"/>
      <c r="L12" s="41"/>
      <c r="M12" s="43"/>
      <c r="N12" s="43"/>
      <c r="O12" s="41"/>
    </row>
    <row r="13" spans="2:16" ht="39.75" customHeight="1" x14ac:dyDescent="0.2">
      <c r="B13" s="29"/>
      <c r="C13" s="30"/>
      <c r="D13" s="30"/>
      <c r="E13" s="30"/>
      <c r="F13" s="30"/>
      <c r="G13" s="30"/>
      <c r="H13" s="30"/>
      <c r="I13" s="31"/>
      <c r="J13" s="32"/>
      <c r="K13" s="31"/>
      <c r="L13" s="33"/>
      <c r="M13" s="34"/>
      <c r="N13" s="32"/>
      <c r="O13" s="30"/>
    </row>
    <row r="14" spans="2:16" ht="39.75" customHeight="1" x14ac:dyDescent="0.2">
      <c r="B14" s="29"/>
      <c r="C14" s="30"/>
      <c r="D14" s="30"/>
      <c r="E14" s="30"/>
      <c r="F14" s="30"/>
      <c r="G14" s="30"/>
      <c r="H14" s="30"/>
      <c r="I14" s="31"/>
      <c r="J14" s="32"/>
      <c r="K14" s="31"/>
      <c r="L14" s="31"/>
      <c r="M14" s="32"/>
      <c r="N14" s="32"/>
      <c r="O14" s="32"/>
    </row>
    <row r="15" spans="2:16" ht="39.75" customHeight="1" x14ac:dyDescent="0.2">
      <c r="B15" s="29"/>
      <c r="C15" s="30"/>
      <c r="D15" s="30"/>
      <c r="E15" s="30"/>
      <c r="F15" s="30"/>
      <c r="G15" s="30"/>
      <c r="H15" s="30"/>
      <c r="I15" s="31"/>
      <c r="J15" s="32"/>
      <c r="K15" s="31"/>
      <c r="L15" s="31"/>
      <c r="M15" s="30"/>
      <c r="N15" s="30"/>
      <c r="O15" s="30"/>
    </row>
    <row r="16" spans="2:16" ht="39.75" customHeight="1" x14ac:dyDescent="0.2">
      <c r="B16" s="29"/>
      <c r="C16" s="30"/>
      <c r="D16" s="30"/>
      <c r="E16" s="30"/>
      <c r="F16" s="30"/>
      <c r="G16" s="30"/>
      <c r="H16" s="30"/>
      <c r="I16" s="31"/>
      <c r="J16" s="32"/>
      <c r="K16" s="31"/>
      <c r="L16" s="31"/>
      <c r="M16" s="30"/>
      <c r="N16" s="30"/>
      <c r="O16" s="30"/>
    </row>
    <row r="17" spans="2:15" ht="39.75" customHeight="1" x14ac:dyDescent="0.2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2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0"/>
      <c r="O18" s="30"/>
    </row>
    <row r="19" spans="2:15" ht="39.75" customHeight="1" x14ac:dyDescent="0.2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39.75" customHeight="1" x14ac:dyDescent="0.2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19.5" customHeight="1" x14ac:dyDescent="0.2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19.5" customHeight="1" x14ac:dyDescent="0.2">
      <c r="I22" s="3"/>
      <c r="J22" s="3"/>
      <c r="K22" s="6"/>
      <c r="L22" s="3"/>
    </row>
    <row r="23" spans="2:15" ht="19.5" customHeight="1" x14ac:dyDescent="0.25">
      <c r="I23" s="1"/>
      <c r="J23" s="1"/>
      <c r="K23" s="2"/>
      <c r="L23" s="3"/>
    </row>
    <row r="24" spans="2:15" ht="19.5" customHeight="1" x14ac:dyDescent="0.25">
      <c r="I24" s="1"/>
      <c r="J24" s="1"/>
      <c r="K24" s="2"/>
      <c r="L24" s="3"/>
    </row>
    <row r="25" spans="2:15" ht="19.5" customHeight="1" x14ac:dyDescent="0.25">
      <c r="I25" s="1"/>
      <c r="J25" s="1"/>
      <c r="K25" s="2"/>
      <c r="L25" s="3"/>
    </row>
    <row r="26" spans="2:15" ht="19.5" customHeight="1" x14ac:dyDescent="0.2">
      <c r="I26" s="1"/>
      <c r="J26" s="1"/>
      <c r="K26" s="7"/>
      <c r="L26" s="3"/>
    </row>
    <row r="27" spans="2:15" ht="19.5" customHeight="1" x14ac:dyDescent="0.2">
      <c r="I27" s="1"/>
      <c r="J27" s="1"/>
      <c r="K27" s="7"/>
      <c r="L27" s="3"/>
    </row>
    <row r="28" spans="2:15" ht="19.5" customHeight="1" x14ac:dyDescent="0.25">
      <c r="I28" s="1"/>
      <c r="J28" s="1"/>
      <c r="K28" s="2"/>
      <c r="L28" s="3"/>
    </row>
    <row r="29" spans="2:15" ht="19.5" customHeight="1" x14ac:dyDescent="0.25">
      <c r="I29" s="1"/>
      <c r="J29" s="1"/>
      <c r="K29" s="2"/>
      <c r="L29" s="3"/>
    </row>
    <row r="30" spans="2:15" ht="19.5" customHeight="1" x14ac:dyDescent="0.25">
      <c r="I30" s="1"/>
      <c r="J30" s="1"/>
      <c r="K30" s="2"/>
      <c r="L30" s="3"/>
    </row>
    <row r="31" spans="2:15" ht="19.5" customHeight="1" x14ac:dyDescent="0.25">
      <c r="I31" s="1"/>
      <c r="J31" s="1"/>
      <c r="K31" s="2" t="s">
        <v>16</v>
      </c>
      <c r="L31" s="1" t="s">
        <v>17</v>
      </c>
      <c r="M31" s="4"/>
    </row>
    <row r="32" spans="2:15" ht="19.5" customHeight="1" x14ac:dyDescent="0.25">
      <c r="I32" s="1"/>
      <c r="J32" s="1"/>
      <c r="K32" s="2" t="s">
        <v>18</v>
      </c>
      <c r="L32" s="1" t="s">
        <v>19</v>
      </c>
      <c r="M32" s="4"/>
    </row>
    <row r="33" spans="9:13" ht="19.5" customHeight="1" x14ac:dyDescent="0.25">
      <c r="I33" s="1"/>
      <c r="J33" s="1"/>
      <c r="K33" s="2" t="s">
        <v>20</v>
      </c>
      <c r="L33" s="1" t="s">
        <v>21</v>
      </c>
      <c r="M33" s="4"/>
    </row>
    <row r="34" spans="9:13" ht="19.5" customHeight="1" x14ac:dyDescent="0.25">
      <c r="I34" s="1"/>
      <c r="J34" s="1"/>
      <c r="K34" s="2"/>
      <c r="L34" s="1" t="s">
        <v>22</v>
      </c>
      <c r="M34" s="4"/>
    </row>
    <row r="35" spans="9:13" ht="19.5" customHeight="1" x14ac:dyDescent="0.25">
      <c r="I35" s="1"/>
      <c r="J35" s="1"/>
      <c r="K35" s="2"/>
      <c r="L35" s="3"/>
    </row>
    <row r="36" spans="9:13" ht="15.75" customHeight="1" x14ac:dyDescent="0.25">
      <c r="I36" s="1"/>
      <c r="J36" s="1"/>
      <c r="K36" s="2"/>
      <c r="L36" s="3"/>
    </row>
    <row r="37" spans="9:13" ht="15.75" customHeight="1" x14ac:dyDescent="0.25">
      <c r="I37" s="1"/>
      <c r="J37" s="1"/>
      <c r="K37" s="2"/>
      <c r="L37" s="3"/>
    </row>
    <row r="38" spans="9:13" ht="15.75" customHeight="1" x14ac:dyDescent="0.25">
      <c r="I38" s="1"/>
      <c r="J38" s="1"/>
      <c r="K38" s="2"/>
      <c r="L38" s="3"/>
    </row>
    <row r="39" spans="9:13" ht="15.75" customHeight="1" x14ac:dyDescent="0.25">
      <c r="I39" s="1"/>
      <c r="J39" s="1"/>
      <c r="K39" s="2"/>
      <c r="L39" s="3"/>
    </row>
    <row r="40" spans="9:13" ht="15.75" customHeight="1" x14ac:dyDescent="0.25">
      <c r="I40" s="1"/>
      <c r="J40" s="1"/>
      <c r="K40" s="2"/>
      <c r="L40" s="3"/>
    </row>
    <row r="41" spans="9:13" ht="15.75" customHeight="1" x14ac:dyDescent="0.25">
      <c r="I41" s="1"/>
      <c r="J41" s="1"/>
      <c r="K41" s="2"/>
      <c r="L41" s="3"/>
    </row>
    <row r="42" spans="9:13" ht="15.75" customHeight="1" x14ac:dyDescent="0.25">
      <c r="I42" s="1"/>
      <c r="J42" s="1"/>
      <c r="K42" s="2"/>
      <c r="L42" s="3"/>
    </row>
    <row r="43" spans="9:13" ht="15.75" customHeight="1" x14ac:dyDescent="0.25">
      <c r="I43" s="1"/>
      <c r="J43" s="1"/>
      <c r="K43" s="2"/>
      <c r="L43" s="3"/>
    </row>
    <row r="44" spans="9:13" ht="15.75" customHeight="1" x14ac:dyDescent="0.25">
      <c r="I44" s="1"/>
      <c r="J44" s="1"/>
      <c r="K44" s="2"/>
      <c r="L44" s="3"/>
    </row>
    <row r="45" spans="9:13" ht="15.75" customHeight="1" x14ac:dyDescent="0.25">
      <c r="I45" s="1"/>
      <c r="J45" s="1"/>
      <c r="K45" s="2"/>
      <c r="L45" s="3"/>
    </row>
    <row r="46" spans="9:13" ht="15.75" customHeight="1" x14ac:dyDescent="0.25">
      <c r="I46" s="1"/>
      <c r="J46" s="1"/>
      <c r="K46" s="2"/>
      <c r="L46" s="3"/>
    </row>
    <row r="47" spans="9:13" ht="15.75" customHeight="1" x14ac:dyDescent="0.25">
      <c r="I47" s="1"/>
      <c r="J47" s="1"/>
      <c r="K47" s="2"/>
      <c r="L47" s="3"/>
    </row>
    <row r="48" spans="9:13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5">
      <c r="I988" s="1"/>
      <c r="J988" s="1"/>
      <c r="K988" s="2"/>
      <c r="L988" s="3"/>
    </row>
    <row r="989" spans="9:12" ht="15.75" customHeight="1" x14ac:dyDescent="0.25">
      <c r="I989" s="1"/>
      <c r="J989" s="1"/>
      <c r="K989" s="2"/>
      <c r="L989" s="3"/>
    </row>
    <row r="990" spans="9:12" ht="15.75" customHeight="1" x14ac:dyDescent="0.25">
      <c r="I990" s="1"/>
      <c r="J990" s="1"/>
      <c r="K990" s="2"/>
      <c r="L990" s="3"/>
    </row>
    <row r="991" spans="9:12" ht="15.75" customHeight="1" x14ac:dyDescent="0.25">
      <c r="I991" s="1"/>
      <c r="J991" s="1"/>
      <c r="K991" s="2"/>
      <c r="L991" s="3"/>
    </row>
    <row r="992" spans="9:12" ht="15.75" customHeight="1" x14ac:dyDescent="0.25">
      <c r="I992" s="1"/>
      <c r="J992" s="1"/>
      <c r="K992" s="2"/>
      <c r="L992" s="3"/>
    </row>
    <row r="993" spans="9:12" ht="15.75" customHeight="1" x14ac:dyDescent="0.25">
      <c r="I993" s="1"/>
      <c r="J993" s="1"/>
      <c r="K993" s="2"/>
      <c r="L993" s="3"/>
    </row>
    <row r="994" spans="9:12" ht="15.75" customHeight="1" x14ac:dyDescent="0.25">
      <c r="I994" s="1"/>
      <c r="J994" s="1"/>
      <c r="K994" s="2"/>
      <c r="L994" s="3"/>
    </row>
    <row r="995" spans="9:12" ht="15.75" customHeight="1" x14ac:dyDescent="0.25">
      <c r="I995" s="1"/>
      <c r="J995" s="1"/>
      <c r="K995" s="2"/>
      <c r="L995" s="3"/>
    </row>
    <row r="996" spans="9:12" ht="15.75" customHeight="1" x14ac:dyDescent="0.25">
      <c r="I996" s="1"/>
      <c r="J996" s="1"/>
      <c r="K996" s="2"/>
      <c r="L996" s="3"/>
    </row>
    <row r="997" spans="9:12" ht="15.75" customHeight="1" x14ac:dyDescent="0.25">
      <c r="I997" s="1"/>
      <c r="J997" s="1"/>
      <c r="K997" s="2"/>
      <c r="L997" s="3"/>
    </row>
    <row r="998" spans="9:12" ht="15.75" customHeight="1" x14ac:dyDescent="0.25">
      <c r="I998" s="1"/>
      <c r="J998" s="1"/>
      <c r="K998" s="2"/>
      <c r="L998" s="3"/>
    </row>
    <row r="999" spans="9:12" ht="15.75" customHeight="1" x14ac:dyDescent="0.25">
      <c r="I999" s="1"/>
      <c r="J999" s="1"/>
      <c r="K999" s="2"/>
      <c r="L999" s="3"/>
    </row>
    <row r="1000" spans="9:12" ht="15.75" customHeight="1" x14ac:dyDescent="0.25">
      <c r="I1000" s="1"/>
      <c r="J1000" s="1"/>
      <c r="K1000" s="2"/>
      <c r="L1000" s="3"/>
    </row>
    <row r="1001" spans="9:12" ht="15.75" customHeight="1" x14ac:dyDescent="0.2">
      <c r="I1001" s="3"/>
      <c r="J1001" s="3"/>
      <c r="K1001" s="6"/>
      <c r="L1001" s="3"/>
    </row>
    <row r="1002" spans="9:12" ht="15" customHeight="1" x14ac:dyDescent="0.2">
      <c r="I1002" s="3"/>
      <c r="J1002" s="3"/>
      <c r="K1002" s="6"/>
      <c r="L1002" s="3"/>
    </row>
  </sheetData>
  <mergeCells count="1">
    <mergeCell ref="B3:O3"/>
  </mergeCells>
  <dataValidations count="2">
    <dataValidation type="list" allowBlank="1" showErrorMessage="1" sqref="L12:L21 L9:L10" xr:uid="{00000000-0002-0000-0000-000000000000}">
      <formula1>$L$31:$L$34</formula1>
    </dataValidation>
    <dataValidation type="list" allowBlank="1" showErrorMessage="1" sqref="K12:K21 K9:K10" xr:uid="{00000000-0002-0000-0000-000001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12" zoomScale="70" zoomScaleNormal="70" workbookViewId="0">
      <selection activeCell="C10" sqref="C10"/>
    </sheetView>
  </sheetViews>
  <sheetFormatPr baseColWidth="10" defaultColWidth="12.625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8"/>
      <c r="D4" s="8"/>
      <c r="E4" s="8"/>
      <c r="F4" s="4"/>
    </row>
    <row r="5" spans="2:16" hidden="1" x14ac:dyDescent="0.25">
      <c r="C5" s="8"/>
      <c r="D5" s="8"/>
      <c r="E5" s="8"/>
      <c r="F5" s="4"/>
    </row>
    <row r="6" spans="2:16" ht="39.75" customHeight="1" x14ac:dyDescent="0.2">
      <c r="B6" s="85" t="s">
        <v>23</v>
      </c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66"/>
    </row>
    <row r="7" spans="2:16" ht="9.75" customHeight="1" x14ac:dyDescent="0.2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25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">
      <c r="B9" s="26"/>
      <c r="C9" s="10" t="s">
        <v>1</v>
      </c>
      <c r="D9" s="11"/>
      <c r="E9" s="65" t="s">
        <v>24</v>
      </c>
      <c r="F9" s="66"/>
      <c r="G9" s="11"/>
      <c r="H9" s="65" t="s">
        <v>11</v>
      </c>
      <c r="I9" s="66"/>
      <c r="J9" s="12"/>
      <c r="K9" s="12"/>
      <c r="L9" s="12"/>
      <c r="M9" s="12"/>
      <c r="N9" s="12"/>
      <c r="O9" s="12"/>
      <c r="P9" s="27"/>
    </row>
    <row r="10" spans="2:16" ht="30" customHeight="1" x14ac:dyDescent="0.2">
      <c r="B10" s="26"/>
      <c r="C10" s="13" t="s">
        <v>15</v>
      </c>
      <c r="D10" s="14"/>
      <c r="E10" s="87" t="str">
        <f>VLOOKUP(C10,'Formato descripción HU'!B6:O21,5,0)</f>
        <v>Administrador</v>
      </c>
      <c r="F10" s="88"/>
      <c r="G10" s="15"/>
      <c r="H10" s="67" t="str">
        <f>VLOOKUP(C10,'Formato descripción HU'!B6:O21,11,0)</f>
        <v>No iniciado</v>
      </c>
      <c r="I10" s="66"/>
      <c r="J10" s="15"/>
      <c r="K10" s="12"/>
      <c r="L10" s="12"/>
      <c r="M10" s="12"/>
      <c r="N10" s="12"/>
      <c r="O10" s="12"/>
      <c r="P10" s="27"/>
    </row>
    <row r="11" spans="2:16" ht="9.75" customHeight="1" x14ac:dyDescent="0.2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">
      <c r="B12" s="26"/>
      <c r="C12" s="10" t="s">
        <v>25</v>
      </c>
      <c r="D12" s="14"/>
      <c r="E12" s="65" t="s">
        <v>10</v>
      </c>
      <c r="F12" s="66"/>
      <c r="G12" s="15"/>
      <c r="H12" s="65" t="s">
        <v>26</v>
      </c>
      <c r="I12" s="66"/>
      <c r="J12" s="15"/>
      <c r="K12" s="17"/>
      <c r="L12" s="17"/>
      <c r="M12" s="12"/>
      <c r="N12" s="17"/>
      <c r="O12" s="17"/>
      <c r="P12" s="27"/>
    </row>
    <row r="13" spans="2:16" ht="30" customHeight="1" x14ac:dyDescent="0.2">
      <c r="B13" s="26"/>
      <c r="C13" s="13" t="str">
        <f>VLOOKUP('Historia de Usuario'!C10,'Formato descripción HU'!B6:O21,8,0)</f>
        <v>5 hrs</v>
      </c>
      <c r="D13" s="14"/>
      <c r="E13" s="67" t="str">
        <f>VLOOKUP(C10,'Formato descripción HU'!B6:O21,10,0)</f>
        <v>Alta</v>
      </c>
      <c r="F13" s="66"/>
      <c r="G13" s="15"/>
      <c r="H13" s="67" t="str">
        <f>VLOOKUP(C10,'Formato descripción HU'!B6:O21,7,0)</f>
        <v>Jaime Cabezas</v>
      </c>
      <c r="I13" s="66"/>
      <c r="J13" s="15"/>
      <c r="K13" s="17"/>
      <c r="L13" s="17"/>
      <c r="M13" s="12"/>
      <c r="N13" s="17"/>
      <c r="O13" s="17"/>
      <c r="P13" s="27"/>
    </row>
    <row r="14" spans="2:16" ht="9.75" customHeight="1" x14ac:dyDescent="0.2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">
      <c r="B15" s="26"/>
      <c r="C15" s="68" t="s">
        <v>27</v>
      </c>
      <c r="D15" s="76" t="str">
        <f>VLOOKUP(C10,'Formato descripción HU'!B6:O21,3,0)</f>
        <v>El sistema debe tener un usuario Admin con credenciales únicas.</v>
      </c>
      <c r="E15" s="70"/>
      <c r="F15" s="12"/>
      <c r="G15" s="68" t="s">
        <v>28</v>
      </c>
      <c r="H15" s="76" t="str">
        <f>VLOOKUP(C10,'Formato descripción HU'!B6:O21,4,0)</f>
        <v xml:space="preserve">Asegurar que solo el admi pueda gestionar a los traductores </v>
      </c>
      <c r="I15" s="97"/>
      <c r="J15" s="70"/>
      <c r="K15" s="12"/>
      <c r="L15" s="47" t="s">
        <v>29</v>
      </c>
      <c r="M15" s="50" t="str">
        <f>VLOOKUP(C10,'Formato descripción HU'!B6:O21,6,0)</f>
        <v>Crear  un perfil "Admin" con su contraseña y permisos de acceso total.</v>
      </c>
      <c r="N15" s="51"/>
      <c r="O15" s="52"/>
      <c r="P15" s="27"/>
    </row>
    <row r="16" spans="2:16" ht="19.5" customHeight="1" x14ac:dyDescent="0.2">
      <c r="B16" s="26"/>
      <c r="C16" s="48"/>
      <c r="D16" s="74"/>
      <c r="E16" s="75"/>
      <c r="F16" s="12"/>
      <c r="G16" s="48"/>
      <c r="H16" s="74"/>
      <c r="I16" s="46"/>
      <c r="J16" s="75"/>
      <c r="K16" s="12"/>
      <c r="L16" s="48"/>
      <c r="M16" s="53"/>
      <c r="N16" s="54"/>
      <c r="O16" s="55"/>
      <c r="P16" s="27"/>
    </row>
    <row r="17" spans="2:16" ht="19.5" customHeight="1" x14ac:dyDescent="0.2">
      <c r="B17" s="26"/>
      <c r="C17" s="49"/>
      <c r="D17" s="71"/>
      <c r="E17" s="72"/>
      <c r="F17" s="12"/>
      <c r="G17" s="49"/>
      <c r="H17" s="71"/>
      <c r="I17" s="98"/>
      <c r="J17" s="72"/>
      <c r="K17" s="12"/>
      <c r="L17" s="49"/>
      <c r="M17" s="56"/>
      <c r="N17" s="57"/>
      <c r="O17" s="58"/>
      <c r="P17" s="27"/>
    </row>
    <row r="18" spans="2:16" ht="9.75" customHeight="1" x14ac:dyDescent="0.2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">
      <c r="B19" s="26"/>
      <c r="C19" s="69" t="s">
        <v>30</v>
      </c>
      <c r="D19" s="70"/>
      <c r="E19" s="59" t="str">
        <f>VLOOKUP(C10,'Formato descripción HU'!B6:O20,14,0)</f>
        <v>Acceso del Administrador</v>
      </c>
      <c r="F19" s="60"/>
      <c r="G19" s="60"/>
      <c r="H19" s="60"/>
      <c r="I19" s="60"/>
      <c r="J19" s="60"/>
      <c r="K19" s="60"/>
      <c r="L19" s="60"/>
      <c r="M19" s="60"/>
      <c r="N19" s="60"/>
      <c r="O19" s="61"/>
      <c r="P19" s="27"/>
    </row>
    <row r="20" spans="2:16" ht="19.5" customHeight="1" x14ac:dyDescent="0.2">
      <c r="B20" s="26"/>
      <c r="C20" s="71"/>
      <c r="D20" s="72"/>
      <c r="E20" s="62"/>
      <c r="F20" s="63"/>
      <c r="G20" s="63"/>
      <c r="H20" s="63"/>
      <c r="I20" s="63"/>
      <c r="J20" s="63"/>
      <c r="K20" s="63"/>
      <c r="L20" s="63"/>
      <c r="M20" s="63"/>
      <c r="N20" s="63"/>
      <c r="O20" s="64"/>
      <c r="P20" s="27"/>
    </row>
    <row r="21" spans="2:16" ht="9.75" customHeight="1" x14ac:dyDescent="0.2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">
      <c r="B22" s="26"/>
      <c r="C22" s="73" t="s">
        <v>31</v>
      </c>
      <c r="D22" s="70"/>
      <c r="E22" s="76" t="str">
        <f>VLOOKUP(C10,'Formato descripción HU'!B6:O21,12,0)</f>
        <v>Se intenta entrar con el usuario Admin y el sistema permite ver el panel de gestión.</v>
      </c>
      <c r="F22" s="77"/>
      <c r="G22" s="77"/>
      <c r="H22" s="78"/>
      <c r="I22" s="12"/>
      <c r="J22" s="73" t="s">
        <v>13</v>
      </c>
      <c r="K22" s="70"/>
      <c r="L22" s="76" t="str">
        <f>VLOOKUP(C10,'Formato descripción HU'!B6:O21,13,0)</f>
        <v>"Configurar un usuario maestro por defecto para la primera entrada"</v>
      </c>
      <c r="M22" s="89"/>
      <c r="N22" s="89"/>
      <c r="O22" s="90"/>
      <c r="P22" s="27"/>
    </row>
    <row r="23" spans="2:16" ht="19.5" customHeight="1" x14ac:dyDescent="0.2">
      <c r="B23" s="26"/>
      <c r="C23" s="74"/>
      <c r="D23" s="75"/>
      <c r="E23" s="79"/>
      <c r="F23" s="80"/>
      <c r="G23" s="80"/>
      <c r="H23" s="81"/>
      <c r="I23" s="12"/>
      <c r="J23" s="74"/>
      <c r="K23" s="75"/>
      <c r="L23" s="91"/>
      <c r="M23" s="92"/>
      <c r="N23" s="92"/>
      <c r="O23" s="93"/>
      <c r="P23" s="27"/>
    </row>
    <row r="24" spans="2:16" ht="19.5" customHeight="1" x14ac:dyDescent="0.2">
      <c r="B24" s="26"/>
      <c r="C24" s="71"/>
      <c r="D24" s="72"/>
      <c r="E24" s="82"/>
      <c r="F24" s="83"/>
      <c r="G24" s="83"/>
      <c r="H24" s="84"/>
      <c r="I24" s="12"/>
      <c r="J24" s="71"/>
      <c r="K24" s="72"/>
      <c r="L24" s="94"/>
      <c r="M24" s="95"/>
      <c r="N24" s="95"/>
      <c r="O24" s="96"/>
      <c r="P24" s="27"/>
    </row>
    <row r="25" spans="2:16" ht="9.75" customHeight="1" x14ac:dyDescent="0.2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Jaime Cabezas</cp:lastModifiedBy>
  <cp:revision/>
  <cp:lastPrinted>2022-11-25T05:25:55Z</cp:lastPrinted>
  <dcterms:created xsi:type="dcterms:W3CDTF">2019-10-21T15:37:14Z</dcterms:created>
  <dcterms:modified xsi:type="dcterms:W3CDTF">2026-05-08T18:49:15Z</dcterms:modified>
  <cp:category/>
  <cp:contentStatus/>
</cp:coreProperties>
</file>