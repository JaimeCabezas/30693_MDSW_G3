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d8809a88932ed5d/Desktop/G3_U1T3/"/>
    </mc:Choice>
  </mc:AlternateContent>
  <xr:revisionPtr revIDLastSave="2" documentId="13_ncr:1_{BA3583BC-D696-4C64-B3C1-9DA1CF14D43F}" xr6:coauthVersionLast="47" xr6:coauthVersionMax="47" xr10:uidLastSave="{E5A0BBC1-0FB3-490D-96C7-879493B91019}"/>
  <bookViews>
    <workbookView xWindow="-120" yWindow="-120" windowWidth="29040" windowHeight="1572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<sst xmlns="http://schemas.openxmlformats.org/spreadsheetml/2006/main" count="78" uniqueCount="64">
  <si>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</si>
  <si>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</si>
  <si>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</si>
  <si>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</si>
  <si>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</si>
  <si>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</si>
  <si>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</si>
  <si>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</si>
  <si>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</si>
  <si>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</si>
  <si>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</si>
  <si>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</si>
  <si>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</si>
  <si>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</si>
  <si>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</si>
  <si>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</si>
  <si>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</si>
  <si>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</si>
  <si>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</si>
  <si>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</si>
  <si>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</si>
  <si>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</si>
  <si>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</si>
  <si>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</si>
  <si>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</si>
  <si>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</si>
  <si>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</si>
  <si>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</si>
  <si>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</si>
  <si>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</si>
  <si>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</si>
  <si>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</si>
  <si>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</si>
  <si>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Administrador</t>
  </si>
  <si>
    <t>Sprint 1</t>
  </si>
  <si>
    <t>REQ003</t>
  </si>
  <si>
    <t xml:space="preserve">Centralizar la información técnica (idiomas, tipo de servicio, archivos) en una sola plataforma. </t>
  </si>
  <si>
    <t xml:space="preserve">Diseñar un módulo con selectores de idioma, nivel de traducción y carga de documentos adjuntos. </t>
  </si>
  <si>
    <t xml:space="preserve">Jaime Cabezas </t>
  </si>
  <si>
    <t>12 hrs</t>
  </si>
  <si>
    <t xml:space="preserve">Este es el núcleo del negocio y la base para organizar el trabajo de United Republic. </t>
  </si>
  <si>
    <t xml:space="preserve">Falta de trazabilidad y desconocimiento del avance real de los trabajos. </t>
  </si>
  <si>
    <t xml:space="preserve">El sistema debe gestionar un flujo de estados (Pendiente, Proceso, Revisión, Completado). </t>
  </si>
  <si>
    <t xml:space="preserve">Proporcionar visibilidad en tiempo real sobre el ciclo de vida de cada traducción. </t>
  </si>
  <si>
    <t>Administrador y Traductor</t>
  </si>
  <si>
    <t xml:space="preserve">Implementar una máquina de estados y un tablero de control que registre el historial de cambios. </t>
  </si>
  <si>
    <t xml:space="preserve">Jelen Lucio </t>
  </si>
  <si>
    <t>10 hrs</t>
  </si>
  <si>
    <t>Al cambiar un estado a "Revisión", el sistema debe actualizar la vista del cliente automáticamente.</t>
  </si>
  <si>
    <t xml:space="preserve">Resuelve la necesidad de mantener informados a los clientes sobre el estado de sus solicitudes. </t>
  </si>
  <si>
    <t>Trazabilidad de Flujo de Trabajo</t>
  </si>
  <si>
    <t xml:space="preserve">Dependencia crítica de WhatsApp y riesgo de incumplimiento de plazos. </t>
  </si>
  <si>
    <t xml:space="preserve">El sistema debe emitir notificaciones automáticas y alertas de riesgo de retraso. </t>
  </si>
  <si>
    <t xml:space="preserve">Automatizar la comunicación operativa y prevenir retrasos en las entregas. </t>
  </si>
  <si>
    <t xml:space="preserve">Desarrollar un servicio de alertas que compare la fecha actual con la fecha de entrega establecida. </t>
  </si>
  <si>
    <t xml:space="preserve">Bryan Cevallos </t>
  </si>
  <si>
    <t>15 hrs</t>
  </si>
  <si>
    <t>Se simula una fecha de entrega próxima y se verifica el envío de la notificación de alerta.</t>
  </si>
  <si>
    <t xml:space="preserve">Sustituye la comunicación informal y asegura que se cumplan los tiempos de entrega. </t>
  </si>
  <si>
    <t>Sistema de Alertas y Notificaciones</t>
  </si>
  <si>
    <t xml:space="preserve">El sistema debe permitir archivar y configurar documentos para su traducción. </t>
  </si>
  <si>
    <t>Gestión Integral de Documentos</t>
  </si>
  <si>
    <t>Se verifica que los archivos adjuntos sean accesibles por el traductor.</t>
  </si>
  <si>
    <t xml:space="preserve">La gestión de documentos se realiza de forma manual y los archivos se dispersan.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</si>
</sst>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5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3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8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20" fillId="2" borderId="1" xfId="0" applyFont="1" applyFill="1" applyBorder="1" applyAlignment="1">
      <alignment horizontal="center" vertical="center" wrapText="1"/>
    </xf>
    <xf numFmtId="0" fontId="22" fillId="0" borderId="25" xfId="0" applyFont="1" applyBorder="1" applyAlignment="1">
      <alignment vertical="center" wrapText="1" readingOrder="1"/>
    </xf>
    <xf numFmtId="0" fontId="21" fillId="0" borderId="25" xfId="0" applyFont="1" applyBorder="1" applyAlignment="1">
      <alignment vertical="center" wrapText="1" readingOrder="1"/>
    </xf>
    <xf numFmtId="0" fontId="23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 readingOrder="1"/>
    </xf>
    <xf numFmtId="0" fontId="11" fillId="6" borderId="7" xfId="0" applyFont="1" applyFill="1" applyBorder="1" applyAlignment="1">
      <alignment horizontal="center" vertical="center"/>
    </xf>
    <xf numFmtId="0" fontId="10" fillId="0" borderId="11" xfId="0" applyFont="1" applyBorder="1"/>
    <xf numFmtId="0" fontId="10" fillId="0" borderId="14" xfId="0" applyFont="1" applyBorder="1"/>
    <xf numFmtId="0" fontId="18" fillId="7" borderId="8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21" xfId="0" applyFont="1" applyBorder="1"/>
    <xf numFmtId="0" fontId="10" fillId="0" borderId="23" xfId="0" applyFont="1" applyBorder="1"/>
    <xf numFmtId="0" fontId="11" fillId="4" borderId="8" xfId="0" applyFont="1" applyFill="1" applyBorder="1" applyAlignment="1">
      <alignment horizontal="center" vertical="center"/>
    </xf>
    <xf numFmtId="0" fontId="10" fillId="0" borderId="12" xfId="0" applyFont="1" applyBorder="1"/>
    <xf numFmtId="0" fontId="10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13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5" xfId="0" applyFont="1" applyBorder="1"/>
    <xf numFmtId="0" fontId="1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0" fillId="0" borderId="0" xfId="0"/>
    <xf numFmtId="0" fontId="10" fillId="0" borderId="22" xfId="0" applyFont="1" applyBorder="1"/>
    <xf numFmtId="0" fontId="19" fillId="6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wrapText="1"/>
    </xf>
    <xf numFmtId="0" fontId="17" fillId="0" borderId="9" xfId="0" applyFont="1" applyBorder="1" applyAlignment="1">
      <alignment wrapText="1"/>
    </xf>
    <xf numFmtId="0" fontId="17" fillId="0" borderId="12" xfId="0" applyFont="1" applyBorder="1" applyAlignment="1">
      <alignment wrapText="1"/>
    </xf>
    <xf numFmtId="0" fontId="15" fillId="0" borderId="0" xfId="0" applyFont="1" applyAlignment="1">
      <alignment wrapText="1"/>
    </xf>
    <xf numFmtId="0" fontId="17" fillId="0" borderId="13" xfId="0" applyFont="1" applyBorder="1" applyAlignment="1">
      <alignment wrapText="1"/>
    </xf>
    <xf numFmtId="0" fontId="17" fillId="0" borderId="21" xfId="0" applyFont="1" applyBorder="1" applyAlignment="1">
      <alignment wrapText="1"/>
    </xf>
    <xf numFmtId="0" fontId="17" fillId="0" borderId="22" xfId="0" applyFont="1" applyBorder="1" applyAlignment="1">
      <alignment wrapText="1"/>
    </xf>
    <xf numFmtId="0" fontId="17" fillId="0" borderId="23" xfId="0" applyFont="1" applyBorder="1" applyAlignment="1">
      <alignment wrapText="1"/>
    </xf>
    <xf numFmtId="0" fontId="16" fillId="2" borderId="15" xfId="0" applyFont="1" applyFill="1" applyBorder="1" applyAlignment="1">
      <alignment horizontal="center" vertical="center"/>
    </xf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2"/>
  <sheetViews>
    <sheetView showGridLines="0" topLeftCell="C5" zoomScaleNormal="100" workbookViewId="0">
      <selection activeCell="M10" sqref="M10"/>
    </sheetView>
  </sheetViews>
  <sheetFormatPr baseColWidth="10" defaultColWidth="12.625" defaultRowHeight="15" customHeight="1" x14ac:dyDescent="0.2"/>
  <cols>
    <col min="1" max="1" width="2" customWidth="1"/>
    <col min="2" max="2" width="8" bestFit="1" customWidth="1"/>
    <col min="3" max="5" width="20.625" customWidth="1"/>
    <col min="6" max="6" width="15" customWidth="1"/>
    <col min="7" max="7" width="28.5" customWidth="1"/>
    <col min="8" max="12" width="10.625" customWidth="1"/>
    <col min="13" max="15" width="20.625" customWidth="1"/>
    <col min="16" max="26" width="9.25" customWidth="1"/>
  </cols>
  <sheetData>
    <row r="1" spans="2:16" x14ac:dyDescent="0.25">
      <c r="I1" s="1"/>
      <c r="J1" s="1"/>
      <c r="K1" s="2"/>
      <c r="L1" s="3"/>
    </row>
    <row r="2" spans="2:16" x14ac:dyDescent="0.25">
      <c r="I2" s="1"/>
      <c r="J2" s="1"/>
      <c r="K2" s="2"/>
      <c r="L2" s="3"/>
    </row>
    <row r="3" spans="2:16" ht="45" customHeight="1" x14ac:dyDescent="0.2">
      <c r="B3" s="93" t="s">
        <v>0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2:16" x14ac:dyDescent="0.25">
      <c r="H4" s="4"/>
      <c r="I4" s="1"/>
      <c r="J4" s="1"/>
      <c r="K4" s="2"/>
      <c r="L4" s="3"/>
    </row>
    <row r="5" spans="2:16" ht="39.75" customHeight="1" thickBot="1" x14ac:dyDescent="0.25">
      <c r="B5" s="5" t="s">
        <v>1</v>
      </c>
      <c r="C5" s="5" t="s">
        <v>2</v>
      </c>
      <c r="D5" s="3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63" customHeight="1" thickBot="1" x14ac:dyDescent="0.25">
      <c r="B6" s="38" t="s">
        <v>15</v>
      </c>
      <c r="C6" s="39" t="s">
        <v>63</v>
      </c>
      <c r="D6" s="39" t="s">
        <v>60</v>
      </c>
      <c r="E6" s="39" t="s">
        <v>36</v>
      </c>
      <c r="F6" s="39" t="s">
        <v>33</v>
      </c>
      <c r="G6" s="39" t="s">
        <v>37</v>
      </c>
      <c r="H6" s="39" t="s">
        <v>38</v>
      </c>
      <c r="I6" s="39" t="s">
        <v>39</v>
      </c>
      <c r="J6" s="39" t="s">
        <v>34</v>
      </c>
      <c r="K6" s="39" t="s">
        <v>16</v>
      </c>
      <c r="L6" s="39" t="s">
        <v>17</v>
      </c>
      <c r="M6" s="39" t="s">
        <v>62</v>
      </c>
      <c r="N6" s="39" t="s">
        <v>40</v>
      </c>
      <c r="O6" s="39" t="s">
        <v>61</v>
      </c>
    </row>
    <row r="7" spans="2:16" ht="67.5" customHeight="1" thickBot="1" x14ac:dyDescent="0.25">
      <c r="B7" s="38" t="s">
        <v>32</v>
      </c>
      <c r="C7" s="39" t="s">
        <v>41</v>
      </c>
      <c r="D7" s="39" t="s">
        <v>42</v>
      </c>
      <c r="E7" s="39" t="s">
        <v>43</v>
      </c>
      <c r="F7" s="39" t="s">
        <v>44</v>
      </c>
      <c r="G7" s="39" t="s">
        <v>45</v>
      </c>
      <c r="H7" s="39" t="s">
        <v>46</v>
      </c>
      <c r="I7" s="39" t="s">
        <v>47</v>
      </c>
      <c r="J7" s="39" t="s">
        <v>34</v>
      </c>
      <c r="K7" s="39" t="s">
        <v>16</v>
      </c>
      <c r="L7" s="39" t="s">
        <v>17</v>
      </c>
      <c r="M7" s="39" t="s">
        <v>48</v>
      </c>
      <c r="N7" s="39" t="s">
        <v>49</v>
      </c>
      <c r="O7" s="39" t="s">
        <v>50</v>
      </c>
    </row>
    <row r="8" spans="2:16" ht="77.25" customHeight="1" thickBot="1" x14ac:dyDescent="0.25">
      <c r="B8" s="38" t="s">
        <v>35</v>
      </c>
      <c r="C8" s="39" t="s">
        <v>51</v>
      </c>
      <c r="D8" s="39" t="s">
        <v>52</v>
      </c>
      <c r="E8" s="39" t="s">
        <v>53</v>
      </c>
      <c r="F8" s="39" t="s">
        <v>44</v>
      </c>
      <c r="G8" s="39" t="s">
        <v>54</v>
      </c>
      <c r="H8" s="39" t="s">
        <v>55</v>
      </c>
      <c r="I8" s="39" t="s">
        <v>56</v>
      </c>
      <c r="J8" s="39" t="s">
        <v>34</v>
      </c>
      <c r="K8" s="39" t="s">
        <v>16</v>
      </c>
      <c r="L8" s="39" t="s">
        <v>17</v>
      </c>
      <c r="M8" s="39" t="s">
        <v>57</v>
      </c>
      <c r="N8" s="39" t="s">
        <v>58</v>
      </c>
      <c r="O8" s="39" t="s">
        <v>59</v>
      </c>
      <c r="P8" s="28"/>
    </row>
    <row r="9" spans="2:16" ht="75" customHeight="1" thickBot="1" x14ac:dyDescent="0.25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28"/>
    </row>
    <row r="10" spans="2:16" ht="71.25" customHeight="1" thickBot="1" x14ac:dyDescent="0.25"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</row>
    <row r="11" spans="2:16" ht="114" customHeight="1" thickBot="1" x14ac:dyDescent="0.25"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  <row r="12" spans="2:16" ht="88.9" customHeight="1" thickBot="1" x14ac:dyDescent="0.25"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2:16" ht="39.75" customHeight="1" x14ac:dyDescent="0.2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3"/>
      <c r="M13" s="34"/>
      <c r="N13" s="32"/>
      <c r="O13" s="30"/>
    </row>
    <row r="14" spans="2:16" ht="39.75" customHeight="1" x14ac:dyDescent="0.2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2"/>
      <c r="N14" s="32"/>
      <c r="O14" s="32"/>
    </row>
    <row r="15" spans="2:16" ht="39.75" customHeight="1" x14ac:dyDescent="0.2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39.75" customHeight="1" x14ac:dyDescent="0.2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2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2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2">
      <c r="I22" s="3"/>
      <c r="J22" s="3"/>
      <c r="K22" s="6"/>
      <c r="L22" s="3"/>
    </row>
    <row r="23" spans="2:15" ht="19.5" customHeight="1" x14ac:dyDescent="0.25">
      <c r="I23" s="1"/>
      <c r="J23" s="1"/>
      <c r="K23" s="2"/>
      <c r="L23" s="3"/>
    </row>
    <row r="24" spans="2:15" ht="19.5" customHeight="1" x14ac:dyDescent="0.25">
      <c r="I24" s="1"/>
      <c r="J24" s="1"/>
      <c r="K24" s="2"/>
      <c r="L24" s="3"/>
    </row>
    <row r="25" spans="2:15" ht="19.5" customHeight="1" x14ac:dyDescent="0.25">
      <c r="I25" s="1"/>
      <c r="J25" s="1"/>
      <c r="K25" s="2"/>
      <c r="L25" s="3"/>
    </row>
    <row r="26" spans="2:15" ht="19.5" customHeight="1" x14ac:dyDescent="0.2">
      <c r="I26" s="1"/>
      <c r="J26" s="1"/>
      <c r="K26" s="7"/>
      <c r="L26" s="3"/>
    </row>
    <row r="27" spans="2:15" ht="19.5" customHeight="1" x14ac:dyDescent="0.2">
      <c r="I27" s="1"/>
      <c r="J27" s="1"/>
      <c r="K27" s="7"/>
      <c r="L27" s="3"/>
    </row>
    <row r="28" spans="2:15" ht="19.5" customHeight="1" x14ac:dyDescent="0.25">
      <c r="I28" s="1"/>
      <c r="J28" s="1"/>
      <c r="K28" s="2"/>
      <c r="L28" s="3"/>
    </row>
    <row r="29" spans="2:15" ht="19.5" customHeight="1" x14ac:dyDescent="0.25">
      <c r="I29" s="1"/>
      <c r="J29" s="1"/>
      <c r="K29" s="2"/>
      <c r="L29" s="3"/>
    </row>
    <row r="30" spans="2:15" ht="19.5" customHeight="1" x14ac:dyDescent="0.25">
      <c r="I30" s="1"/>
      <c r="J30" s="1"/>
      <c r="K30" s="2"/>
      <c r="L30" s="3"/>
    </row>
    <row r="31" spans="2:15" ht="19.5" customHeight="1" x14ac:dyDescent="0.25">
      <c r="I31" s="1"/>
      <c r="J31" s="1"/>
      <c r="K31" s="2" t="s">
        <v>16</v>
      </c>
      <c r="L31" s="1" t="s">
        <v>17</v>
      </c>
      <c r="M31" s="4"/>
    </row>
    <row r="32" spans="2:15" ht="19.5" customHeight="1" x14ac:dyDescent="0.25">
      <c r="I32" s="1"/>
      <c r="J32" s="1"/>
      <c r="K32" s="2" t="s">
        <v>18</v>
      </c>
      <c r="L32" s="1" t="s">
        <v>19</v>
      </c>
      <c r="M32" s="4"/>
    </row>
    <row r="33" spans="9:13" ht="19.5" customHeight="1" x14ac:dyDescent="0.25">
      <c r="I33" s="1"/>
      <c r="J33" s="1"/>
      <c r="K33" s="2" t="s">
        <v>20</v>
      </c>
      <c r="L33" s="1" t="s">
        <v>21</v>
      </c>
      <c r="M33" s="4"/>
    </row>
    <row r="34" spans="9:13" ht="19.5" customHeight="1" x14ac:dyDescent="0.25">
      <c r="I34" s="1"/>
      <c r="J34" s="1"/>
      <c r="K34" s="2"/>
      <c r="L34" s="1" t="s">
        <v>22</v>
      </c>
      <c r="M34" s="4"/>
    </row>
    <row r="35" spans="9:13" ht="19.5" customHeight="1" x14ac:dyDescent="0.25">
      <c r="I35" s="1"/>
      <c r="J35" s="1"/>
      <c r="K35" s="2"/>
      <c r="L35" s="3"/>
    </row>
    <row r="36" spans="9:13" ht="15.75" customHeight="1" x14ac:dyDescent="0.25">
      <c r="I36" s="1"/>
      <c r="J36" s="1"/>
      <c r="K36" s="2"/>
      <c r="L36" s="3"/>
    </row>
    <row r="37" spans="9:13" ht="15.75" customHeight="1" x14ac:dyDescent="0.25">
      <c r="I37" s="1"/>
      <c r="J37" s="1"/>
      <c r="K37" s="2"/>
      <c r="L37" s="3"/>
    </row>
    <row r="38" spans="9:13" ht="15.75" customHeight="1" x14ac:dyDescent="0.25">
      <c r="I38" s="1"/>
      <c r="J38" s="1"/>
      <c r="K38" s="2"/>
      <c r="L38" s="3"/>
    </row>
    <row r="39" spans="9:13" ht="15.75" customHeight="1" x14ac:dyDescent="0.25">
      <c r="I39" s="1"/>
      <c r="J39" s="1"/>
      <c r="K39" s="2"/>
      <c r="L39" s="3"/>
    </row>
    <row r="40" spans="9:13" ht="15.75" customHeight="1" x14ac:dyDescent="0.25">
      <c r="I40" s="1"/>
      <c r="J40" s="1"/>
      <c r="K40" s="2"/>
      <c r="L40" s="3"/>
    </row>
    <row r="41" spans="9:13" ht="15.75" customHeight="1" x14ac:dyDescent="0.25">
      <c r="I41" s="1"/>
      <c r="J41" s="1"/>
      <c r="K41" s="2"/>
      <c r="L41" s="3"/>
    </row>
    <row r="42" spans="9:13" ht="15.75" customHeight="1" x14ac:dyDescent="0.25">
      <c r="I42" s="1"/>
      <c r="J42" s="1"/>
      <c r="K42" s="2"/>
      <c r="L42" s="3"/>
    </row>
    <row r="43" spans="9:13" ht="15.75" customHeight="1" x14ac:dyDescent="0.25">
      <c r="I43" s="1"/>
      <c r="J43" s="1"/>
      <c r="K43" s="2"/>
      <c r="L43" s="3"/>
    </row>
    <row r="44" spans="9:13" ht="15.75" customHeight="1" x14ac:dyDescent="0.25">
      <c r="I44" s="1"/>
      <c r="J44" s="1"/>
      <c r="K44" s="2"/>
      <c r="L44" s="3"/>
    </row>
    <row r="45" spans="9:13" ht="15.75" customHeight="1" x14ac:dyDescent="0.25">
      <c r="I45" s="1"/>
      <c r="J45" s="1"/>
      <c r="K45" s="2"/>
      <c r="L45" s="3"/>
    </row>
    <row r="46" spans="9:13" ht="15.75" customHeight="1" x14ac:dyDescent="0.25">
      <c r="I46" s="1"/>
      <c r="J46" s="1"/>
      <c r="K46" s="2"/>
      <c r="L46" s="3"/>
    </row>
    <row r="47" spans="9:13" ht="15.75" customHeight="1" x14ac:dyDescent="0.25">
      <c r="I47" s="1"/>
      <c r="J47" s="1"/>
      <c r="K47" s="2"/>
      <c r="L47" s="3"/>
    </row>
    <row r="48" spans="9:13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5">
      <c r="I989" s="1"/>
      <c r="J989" s="1"/>
      <c r="K989" s="2"/>
      <c r="L989" s="3"/>
    </row>
    <row r="990" spans="9:12" ht="15.75" customHeight="1" x14ac:dyDescent="0.25">
      <c r="I990" s="1"/>
      <c r="J990" s="1"/>
      <c r="K990" s="2"/>
      <c r="L990" s="3"/>
    </row>
    <row r="991" spans="9:12" ht="15.75" customHeight="1" x14ac:dyDescent="0.25">
      <c r="I991" s="1"/>
      <c r="J991" s="1"/>
      <c r="K991" s="2"/>
      <c r="L991" s="3"/>
    </row>
    <row r="992" spans="9:12" ht="15.75" customHeight="1" x14ac:dyDescent="0.25">
      <c r="I992" s="1"/>
      <c r="J992" s="1"/>
      <c r="K992" s="2"/>
      <c r="L992" s="3"/>
    </row>
    <row r="993" spans="9:12" ht="15.75" customHeight="1" x14ac:dyDescent="0.25">
      <c r="I993" s="1"/>
      <c r="J993" s="1"/>
      <c r="K993" s="2"/>
      <c r="L993" s="3"/>
    </row>
    <row r="994" spans="9:12" ht="15.75" customHeight="1" x14ac:dyDescent="0.25">
      <c r="I994" s="1"/>
      <c r="J994" s="1"/>
      <c r="K994" s="2"/>
      <c r="L994" s="3"/>
    </row>
    <row r="995" spans="9:12" ht="15.75" customHeight="1" x14ac:dyDescent="0.25">
      <c r="I995" s="1"/>
      <c r="J995" s="1"/>
      <c r="K995" s="2"/>
      <c r="L995" s="3"/>
    </row>
    <row r="996" spans="9:12" ht="15.75" customHeight="1" x14ac:dyDescent="0.25">
      <c r="I996" s="1"/>
      <c r="J996" s="1"/>
      <c r="K996" s="2"/>
      <c r="L996" s="3"/>
    </row>
    <row r="997" spans="9:12" ht="15.75" customHeight="1" x14ac:dyDescent="0.25">
      <c r="I997" s="1"/>
      <c r="J997" s="1"/>
      <c r="K997" s="2"/>
      <c r="L997" s="3"/>
    </row>
    <row r="998" spans="9:12" ht="15.75" customHeight="1" x14ac:dyDescent="0.25">
      <c r="I998" s="1"/>
      <c r="J998" s="1"/>
      <c r="K998" s="2"/>
      <c r="L998" s="3"/>
    </row>
    <row r="999" spans="9:12" ht="15.75" customHeight="1" x14ac:dyDescent="0.25">
      <c r="I999" s="1"/>
      <c r="J999" s="1"/>
      <c r="K999" s="2"/>
      <c r="L999" s="3"/>
    </row>
    <row r="1000" spans="9:12" ht="15.75" customHeight="1" x14ac:dyDescent="0.25">
      <c r="I1000" s="1"/>
      <c r="J1000" s="1"/>
      <c r="K1000" s="2"/>
      <c r="L1000" s="3"/>
    </row>
    <row r="1001" spans="9:12" ht="15.75" customHeight="1" x14ac:dyDescent="0.2">
      <c r="I1001" s="3"/>
      <c r="J1001" s="3"/>
      <c r="K1001" s="6"/>
      <c r="L1001" s="3"/>
    </row>
    <row r="1002" spans="9:12" ht="15" customHeight="1" x14ac:dyDescent="0.2">
      <c r="I1002" s="3"/>
      <c r="J1002" s="3"/>
      <c r="K1002" s="6"/>
      <c r="L1002" s="3"/>
    </row>
  </sheetData>
  <mergeCells count="1">
    <mergeCell ref="B3:O3"/>
  </mergeCells>
  <dataValidations count="2">
    <dataValidation type="list" allowBlank="1" showErrorMessage="1" sqref="L13:L21" xr:uid="{00000000-0002-0000-0000-000000000000}">
      <formula1>$L$31:$L$34</formula1>
    </dataValidation>
    <dataValidation type="list" allowBlank="1" showErrorMessage="1" sqref="K13:K21" xr:uid="{00000000-0002-0000-0000-000001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abSelected="1" topLeftCell="A6" zoomScale="115" zoomScaleNormal="115" workbookViewId="0">
      <selection activeCell="K28" sqref="K28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59" t="s">
        <v>23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1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62" t="s">
        <v>24</v>
      </c>
      <c r="F9" s="61"/>
      <c r="G9" s="11"/>
      <c r="H9" s="62" t="s">
        <v>11</v>
      </c>
      <c r="I9" s="61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15</v>
      </c>
      <c r="D10" s="14"/>
      <c r="E10" s="63" t="str">
        <f>VLOOKUP(C10,'Formato descripción HU'!B6:O21,5,0)</f>
        <v>Administrador</v>
      </c>
      <c r="F10" s="64"/>
      <c r="G10" s="15"/>
      <c r="H10" s="65" t="str">
        <f>VLOOKUP(C10,'Formato descripción HU'!B6:O21,11,0)</f>
        <v>No iniciado</v>
      </c>
      <c r="I10" s="61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25</v>
      </c>
      <c r="D12" s="14"/>
      <c r="E12" s="62" t="s">
        <v>10</v>
      </c>
      <c r="F12" s="61"/>
      <c r="G12" s="15"/>
      <c r="H12" s="62" t="s">
        <v>26</v>
      </c>
      <c r="I12" s="61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 t="str">
        <f>VLOOKUP('Historia de Usuario'!C10,'Formato descripción HU'!B6:O21,8,0)</f>
        <v>12 hrs</v>
      </c>
      <c r="D13" s="14"/>
      <c r="E13" s="65" t="str">
        <f>VLOOKUP(C10,'Formato descripción HU'!B6:O21,10,0)</f>
        <v>Alta</v>
      </c>
      <c r="F13" s="61"/>
      <c r="G13" s="15"/>
      <c r="H13" s="65" t="str">
        <f>VLOOKUP(C10,'Formato descripción HU'!B6:O21,7,0)</f>
        <v xml:space="preserve">Jaime Cabezas </v>
      </c>
      <c r="I13" s="61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40" t="s">
        <v>27</v>
      </c>
      <c r="D15" s="50" t="str">
        <f>VLOOKUP(C10,'Formato descripción HU'!B6:O21,3,0)</f>
        <v xml:space="preserve">El sistema debe permitir archivar y configurar documentos para su traducción. </v>
      </c>
      <c r="E15" s="44"/>
      <c r="F15" s="12"/>
      <c r="G15" s="40" t="s">
        <v>28</v>
      </c>
      <c r="H15" s="50" t="str">
        <f>VLOOKUP(C10,'Formato descripción HU'!B6:O21,4,0)</f>
        <v xml:space="preserve">Centralizar la información técnica (idiomas, tipo de servicio, archivos) en una sola plataforma. </v>
      </c>
      <c r="I15" s="74"/>
      <c r="J15" s="44"/>
      <c r="K15" s="12"/>
      <c r="L15" s="77" t="s">
        <v>29</v>
      </c>
      <c r="M15" s="78" t="str">
        <f>VLOOKUP(C10,'Formato descripción HU'!B6:O21,6,0)</f>
        <v xml:space="preserve">Diseñar un módulo con selectores de idioma, nivel de traducción y carga de documentos adjuntos. </v>
      </c>
      <c r="N15" s="79"/>
      <c r="O15" s="80"/>
      <c r="P15" s="27"/>
    </row>
    <row r="16" spans="2:16" ht="19.5" customHeight="1" x14ac:dyDescent="0.2">
      <c r="B16" s="26"/>
      <c r="C16" s="41"/>
      <c r="D16" s="48"/>
      <c r="E16" s="49"/>
      <c r="F16" s="12"/>
      <c r="G16" s="41"/>
      <c r="H16" s="48"/>
      <c r="I16" s="75"/>
      <c r="J16" s="49"/>
      <c r="K16" s="12"/>
      <c r="L16" s="41"/>
      <c r="M16" s="81"/>
      <c r="N16" s="82"/>
      <c r="O16" s="83"/>
      <c r="P16" s="27"/>
    </row>
    <row r="17" spans="2:16" ht="19.5" customHeight="1" x14ac:dyDescent="0.2">
      <c r="B17" s="26"/>
      <c r="C17" s="42"/>
      <c r="D17" s="45"/>
      <c r="E17" s="46"/>
      <c r="F17" s="12"/>
      <c r="G17" s="42"/>
      <c r="H17" s="45"/>
      <c r="I17" s="76"/>
      <c r="J17" s="46"/>
      <c r="K17" s="12"/>
      <c r="L17" s="42"/>
      <c r="M17" s="84"/>
      <c r="N17" s="85"/>
      <c r="O17" s="86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43" t="s">
        <v>30</v>
      </c>
      <c r="D19" s="44"/>
      <c r="E19" s="87" t="str">
        <f>VLOOKUP(C10,'Formato descripción HU'!B6:O20,14,0)</f>
        <v>Gestión Integral de Documentos</v>
      </c>
      <c r="F19" s="88"/>
      <c r="G19" s="88"/>
      <c r="H19" s="88"/>
      <c r="I19" s="88"/>
      <c r="J19" s="88"/>
      <c r="K19" s="88"/>
      <c r="L19" s="88"/>
      <c r="M19" s="88"/>
      <c r="N19" s="88"/>
      <c r="O19" s="89"/>
      <c r="P19" s="27"/>
    </row>
    <row r="20" spans="2:16" ht="19.5" customHeight="1" x14ac:dyDescent="0.2">
      <c r="B20" s="26"/>
      <c r="C20" s="45"/>
      <c r="D20" s="46"/>
      <c r="E20" s="90"/>
      <c r="F20" s="91"/>
      <c r="G20" s="91"/>
      <c r="H20" s="91"/>
      <c r="I20" s="91"/>
      <c r="J20" s="91"/>
      <c r="K20" s="91"/>
      <c r="L20" s="91"/>
      <c r="M20" s="91"/>
      <c r="N20" s="91"/>
      <c r="O20" s="92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47" t="s">
        <v>31</v>
      </c>
      <c r="D22" s="44"/>
      <c r="E22" s="50" t="str">
        <f>VLOOKUP(C10,'Formato descripción HU'!B6:O21,12,0)</f>
        <v>Se verifica que los archivos adjuntos sean accesibles por el traductor.</v>
      </c>
      <c r="F22" s="51"/>
      <c r="G22" s="51"/>
      <c r="H22" s="52"/>
      <c r="I22" s="12"/>
      <c r="J22" s="47" t="s">
        <v>13</v>
      </c>
      <c r="K22" s="44"/>
      <c r="L22" s="50" t="str">
        <f>VLOOKUP(C10,'Formato descripción HU'!B6:O21,13,0)</f>
        <v xml:space="preserve">Este es el núcleo del negocio y la base para organizar el trabajo de United Republic. </v>
      </c>
      <c r="M22" s="66"/>
      <c r="N22" s="66"/>
      <c r="O22" s="67"/>
      <c r="P22" s="27"/>
    </row>
    <row r="23" spans="2:16" ht="19.5" customHeight="1" x14ac:dyDescent="0.2">
      <c r="B23" s="26"/>
      <c r="C23" s="48"/>
      <c r="D23" s="49"/>
      <c r="E23" s="53"/>
      <c r="F23" s="54"/>
      <c r="G23" s="54"/>
      <c r="H23" s="55"/>
      <c r="I23" s="12"/>
      <c r="J23" s="48"/>
      <c r="K23" s="49"/>
      <c r="L23" s="68"/>
      <c r="M23" s="69"/>
      <c r="N23" s="69"/>
      <c r="O23" s="70"/>
      <c r="P23" s="27"/>
    </row>
    <row r="24" spans="2:16" ht="19.5" customHeight="1" x14ac:dyDescent="0.2">
      <c r="B24" s="26"/>
      <c r="C24" s="45"/>
      <c r="D24" s="46"/>
      <c r="E24" s="56"/>
      <c r="F24" s="57"/>
      <c r="G24" s="57"/>
      <c r="H24" s="58"/>
      <c r="I24" s="12"/>
      <c r="J24" s="45"/>
      <c r="K24" s="46"/>
      <c r="L24" s="71"/>
      <c r="M24" s="72"/>
      <c r="N24" s="72"/>
      <c r="O24" s="73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Jaime Cabezas</cp:lastModifiedBy>
  <cp:revision/>
  <cp:lastPrinted>2026-05-13T16:36:19Z</cp:lastPrinted>
  <dcterms:created xsi:type="dcterms:W3CDTF">2019-10-21T15:37:14Z</dcterms:created>
  <dcterms:modified xsi:type="dcterms:W3CDTF">2026-05-13T17:28:29Z</dcterms:modified>
  <cp:category/>
  <cp:contentStatus/>
</cp:coreProperties>
</file>