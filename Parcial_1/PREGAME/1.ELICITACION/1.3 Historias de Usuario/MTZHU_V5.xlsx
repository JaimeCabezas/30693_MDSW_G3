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62" documentId="13_ncr:1_{4FD1F5AC-9AA8-4616-9507-79121A9E6287}" xr6:coauthVersionLast="47" xr6:coauthVersionMax="47" xr10:uidLastSave="{805C0A97-B48B-4763-8F0C-71330190E37B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<sst xmlns="http://schemas.openxmlformats.org/spreadsheetml/2006/main" count="155" uniqueCount="116">
  <si>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</si>
  <si>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</si>
  <si>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</si>
  <si>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</si>
  <si>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</si>
  <si>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</si>
  <si>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</si>
  <si>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</si>
  <si>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</si>
  <si>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</si>
  <si>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</si>
  <si>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</si>
  <si>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</si>
  <si>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</si>
  <si>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</si>
  <si>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</si>
  <si>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</si>
  <si>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Terminado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</si>
  <si>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</si>
  <si>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</si>
  <si>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</si>
  <si>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</si>
  <si>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</si>
  <si>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</si>
  <si>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</si>
  <si>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</si>
  <si>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</si>
  <si>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</si>
  <si>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Administrador</t>
  </si>
  <si>
    <t>Sprint 1</t>
  </si>
  <si>
    <t>REQ003</t>
  </si>
  <si>
    <t>12 hrs</t>
  </si>
  <si>
    <t>10 hrs</t>
  </si>
  <si>
    <t>REQ004</t>
  </si>
  <si>
    <t>REQ005</t>
  </si>
  <si>
    <t>REQ006</t>
  </si>
  <si>
    <t>REQ007</t>
  </si>
  <si>
    <t>No existe un sistema de autenticación para acceder a la plataforma.</t>
  </si>
  <si>
    <t>8 hrs</t>
  </si>
  <si>
    <t>Sistema de Autenticación y Acceso</t>
  </si>
  <si>
    <t>Bryan Cevallos</t>
  </si>
  <si>
    <t>Jaime Cabezas</t>
  </si>
  <si>
    <t>Sprint 2</t>
  </si>
  <si>
    <t>Jelen Lucio</t>
  </si>
  <si>
    <t>Reporte de Auditoría</t>
  </si>
  <si>
    <t>Gestión de Tarifas</t>
  </si>
  <si>
    <t>Módulo de Alertas</t>
  </si>
  <si>
    <t>Administrador / Traductor</t>
  </si>
  <si>
    <t>Media</t>
  </si>
  <si>
    <t>Validar alertas con datos erróneos o vacíos. Ingresar con cuenta válida, verificar rol y navegar sin perder la sesión.</t>
  </si>
  <si>
    <t>Gestión de Documentos</t>
  </si>
  <si>
    <t>El sistema debe permitir el inicio de sesión seguro con credenciales únicas y control de sesión activa.</t>
  </si>
  <si>
    <t>REQ008</t>
  </si>
  <si>
    <t>REQ009</t>
  </si>
  <si>
    <t>No hay visibilidad global del estado del proyecto ni del rendimiento financiero.</t>
  </si>
  <si>
    <t>El sistema debe renderizar un panel estadístico con gráficas (Doughnut) y métricas clave en tiempo real.</t>
  </si>
  <si>
    <t>Facilitar la toma de decisiones y el monitoreo simultáneo de documentos y ganancias acumuladas.</t>
  </si>
  <si>
    <t>Diseñar interfaz en modo oscuro, programar consulta a MongoDB por estados, integrar librería de gráficos y filtrar campo costo.</t>
  </si>
  <si>
    <t>Sprint 3</t>
  </si>
  <si>
    <t>Verificar que la gráfica coincida con los documentos reales. Validar que el Traductor no pueda visualizar la tarjeta de ganancias.</t>
  </si>
  <si>
    <t>Módulo vital para la inteligencia de negocio. Los traductores solo ven sus métricas básicas.</t>
  </si>
  <si>
    <t>Dashboard Analítico y Estadísticas</t>
  </si>
  <si>
    <t>La comunicación de retroalimentación está desconectada del contexto del archivo.</t>
  </si>
  <si>
    <t>El sistema debe permitir el envío de mensajes en tiempo real vinculados al detalle de cada documento.</t>
  </si>
  <si>
    <t>Agilizar la resolución de dudas específicas sin depender de correos y centralizar el historial del trabajo.</t>
  </si>
  <si>
    <r>
      <t xml:space="preserve">Configurar servidor WebSocket en FastAPI, maquetar modal de chat UI, emitir eventos JS, vincular historial al </t>
    </r>
    <r>
      <rPr>
        <sz val="10"/>
        <color theme="1"/>
        <rFont val="Google Sans Text"/>
        <family val="2"/>
      </rPr>
      <t>ObjectId</t>
    </r>
    <r>
      <rPr>
        <sz val="11"/>
        <color theme="1"/>
        <rFont val="Arial"/>
        <family val="2"/>
        <scheme val="minor"/>
      </rPr>
      <t xml:space="preserve"> del documento.</t>
    </r>
  </si>
  <si>
    <t>16 hrs</t>
  </si>
  <si>
    <t>Enviar un mensaje y verificar que llegue al receptor al instante sin recargar. Probar el bloqueo de envío de inputs vacíos.</t>
  </si>
  <si>
    <t>Requiere manejo de reconexiones automáticas si el socket se desconecta de Render.</t>
  </si>
  <si>
    <t>Chat en Tiempo Real por Documento</t>
  </si>
  <si>
    <t>Los datos generados (usuarios, costos, alertas) necesitan almacenamiento seguro y escalable.</t>
  </si>
  <si>
    <t>El sistema debe persistir operaciones CRUD estructuradas en colecciones NoSQL de manera eficiente.</t>
  </si>
  <si>
    <t>Garantizar la integridad, rápida consulta y disponibilidad ininterrumpida de la información para las interfaces.</t>
  </si>
  <si>
    <t>Sistema (Backend)</t>
  </si>
  <si>
    <t>Diseñar esquema en MongoDB, configurar cliente asíncrono en Python, programar persistencia para usuarios, documentos, configuración y logs.</t>
  </si>
  <si>
    <r>
      <t xml:space="preserve">Insertar/recuperar documentos validando conversión de </t>
    </r>
    <r>
      <rPr>
        <sz val="10"/>
        <color theme="1"/>
        <rFont val="Google Sans Text"/>
        <family val="2"/>
      </rPr>
      <t>ObjectId</t>
    </r>
    <r>
      <rPr>
        <sz val="11"/>
        <color theme="1"/>
        <rFont val="Arial"/>
        <family val="2"/>
        <scheme val="minor"/>
      </rPr>
      <t xml:space="preserve"> a string. Validar manejo de errores de conexión.</t>
    </r>
  </si>
  <si>
    <t>Capa fundamental que sostiene toda la arquitectura y servicios de United Republic.</t>
  </si>
  <si>
    <t>En curso</t>
  </si>
  <si>
    <t>Implementación en Base de Datos</t>
  </si>
  <si>
    <t>Garantizar acceso seguro y redirigir al usuario según su rol (Admin, Superadmin o Traductor).</t>
  </si>
  <si>
    <t>Diseñar login, programar validación de credenciales, control de roles/permisos, alertas de error en pantalla y persistencia mediante JWT.</t>
  </si>
  <si>
    <t>Base fundamental del sistema. El administrador será quien cree las cuentas de los traductores.</t>
  </si>
  <si>
    <t>Riesgo de recibir archivos maliciosos o con formatos incompatibles durante la subida de trabajos.</t>
  </si>
  <si>
    <t>El sistema debe restringir y validar la subida de archivos únicamente a formatos académicos permitidos (Word, PDF).</t>
  </si>
  <si>
    <t>Prevenir vulnerabilidades de seguridad en el servidor y asegurar que se reciban documentos legibles.</t>
  </si>
  <si>
    <t>Implementar validación visual en frontend y protección estricta en el backend (FastAPI), verificando extensión real y límite de peso.</t>
  </si>
  <si>
    <r>
      <t xml:space="preserve">Intentar subir un archivo </t>
    </r>
    <r>
      <rPr>
        <sz val="10"/>
        <color theme="1"/>
        <rFont val="Google Sans Text"/>
        <family val="2"/>
      </rPr>
      <t>.exe</t>
    </r>
    <r>
      <rPr>
        <sz val="11"/>
        <color theme="1"/>
        <rFont val="Arial"/>
        <family val="2"/>
        <scheme val="minor"/>
      </rPr>
      <t xml:space="preserve"> o mayor al peso límite y verificar el bloqueo. Subir un PDF válido exitosamente.</t>
    </r>
  </si>
  <si>
    <t>Doble capa de seguridad (Frontend/Backend) crucial para la integridad del sistema.</t>
  </si>
  <si>
    <t>Falta de trazabilidad sobre qué usuario realiza modificaciones críticas en la plataforma.</t>
  </si>
  <si>
    <t>El sistema debe registrar automáticamente las acciones importantes (creación, edición, eliminación) con fecha y autor.</t>
  </si>
  <si>
    <t>Mantener un historial transparente, auditable y seguro de los movimientos operativos.</t>
  </si>
  <si>
    <t>Programar funciones en el backend que intercepten las peticiones y guarden un registro estructurado en la colección de auditoría.</t>
  </si>
  <si>
    <t>Realizar un cambio en un documento y verificar que el registro aparezca correctamente en la tabla de auditoría con el usuario exacto.</t>
  </si>
  <si>
    <t>Herramienta clave para el control de calidad y la resolución de conflictos internos.</t>
  </si>
  <si>
    <t>Los traductores pueden ver información financiera de cobros o documentos que no les corresponden.</t>
  </si>
  <si>
    <t>El sistema debe aislar las vistas, asegurando que un traductor solo acceda a los archivos asignados a su cuenta.</t>
  </si>
  <si>
    <t>Proteger la privacidad financiera del modelo de negocio y organizar el flujo de trabajo.</t>
  </si>
  <si>
    <r>
      <t xml:space="preserve">Configurar filtros en MongoDB por </t>
    </r>
    <r>
      <rPr>
        <sz val="10"/>
        <color theme="1"/>
        <rFont val="Google Sans Text"/>
        <family val="2"/>
      </rPr>
      <t>asignado_a</t>
    </r>
    <r>
      <rPr>
        <sz val="11"/>
        <color theme="1"/>
        <rFont val="Arial"/>
        <family val="2"/>
        <scheme val="minor"/>
      </rPr>
      <t xml:space="preserve"> y condicionales en el frontend para ocultar campos de costo según el rol del usuario.</t>
    </r>
  </si>
  <si>
    <t>Iniciar sesión como traductor y comprobar que no se renderizan datos de precio ni documentos asignados a otros compañeros.</t>
  </si>
  <si>
    <t>Garantiza la confidencialidad absoluta de las tarifas de la empresa.</t>
  </si>
  <si>
    <t>Las tarifas son vulnerables a ser modificadas por error por cualquier miembro del equipo.</t>
  </si>
  <si>
    <t>El sistema debe permitir actualizar el costo por página, restringiendo esta acción exclusivamente al rol de máxima jerarquía.</t>
  </si>
  <si>
    <t>Automatizar el cálculo matemático de costos de los nuevos documentos de forma segura.</t>
  </si>
  <si>
    <t>Superadmin</t>
  </si>
  <si>
    <r>
      <t>Crear un endpoint protegido por dependencia de rol (</t>
    </r>
    <r>
      <rPr>
        <sz val="10"/>
        <color theme="1"/>
        <rFont val="Google Sans Text"/>
        <family val="2"/>
      </rPr>
      <t>superadmin</t>
    </r>
    <r>
      <rPr>
        <sz val="11"/>
        <color theme="1"/>
        <rFont val="Arial"/>
        <family val="2"/>
        <scheme val="minor"/>
      </rPr>
      <t>), validando que el monto ingresado no sea negativo ni texto (</t>
    </r>
    <r>
      <rPr>
        <sz val="10"/>
        <color theme="1"/>
        <rFont val="Google Sans Text"/>
        <family val="2"/>
      </rPr>
      <t>isNaN</t>
    </r>
    <r>
      <rPr>
        <sz val="11"/>
        <color theme="1"/>
        <rFont val="Arial"/>
        <family val="2"/>
        <scheme val="minor"/>
      </rPr>
      <t>).</t>
    </r>
  </si>
  <si>
    <t>6 hrs</t>
  </si>
  <si>
    <t>Intentar cambiar la tarifa con un Admin (debe fallar). Cambiarla con Superadmin y verificar el recálculo en un nuevo documento.</t>
  </si>
  <si>
    <t>Incluye un mecanismo de seguridad que asume tarifa de $5.00 si la base de datos falla.</t>
  </si>
  <si>
    <t>Retrasos en las entregas por falta de avisos sobre plazos de tiempo vencidos o mensajes importantes.</t>
  </si>
  <si>
    <t>El sistema debe notificar al usuario sobre tiempos de entrega críticos (menor a 24h) y nuevos chats.</t>
  </si>
  <si>
    <t>Agilizar la comunicación interna y evitar incumplimientos en los plazos de traducción.</t>
  </si>
  <si>
    <t>Calcular diferencia de fechas en el servidor e integrar conexión bidireccional WebSocket para emitir alertas visuales instantáneas.</t>
  </si>
  <si>
    <t>14 hrs</t>
  </si>
  <si>
    <t>Modificar la fecha de un documento a menos de 24 horas y verificar la aparición de la alerta de urgencia visual en rojo.</t>
  </si>
  <si>
    <t>Utiliza una arquitectura avanzada híbrida (consultas REST y WebSockets concurrentes).</t>
  </si>
  <si>
    <t>Asignación de Documentos a Traductores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</si>
</sst>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2"/>
      <color theme="1"/>
      <name val="Times New Roman"/>
      <family val="1"/>
    </font>
    <font>
      <sz val="8"/>
      <name val="Arial"/>
      <family val="2"/>
      <scheme val="minor"/>
    </font>
    <font>
      <sz val="10"/>
      <color theme="1"/>
      <name val="Google Sans Tex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5"/>
  </cellStyleXfs>
  <cellXfs count="9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14" fillId="5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20" xfId="0" applyFont="1" applyFill="1" applyBorder="1"/>
    <xf numFmtId="0" fontId="4" fillId="3" borderId="21" xfId="0" applyFont="1" applyFill="1" applyBorder="1"/>
    <xf numFmtId="0" fontId="4" fillId="3" borderId="22" xfId="0" applyFont="1" applyFill="1" applyBorder="1"/>
    <xf numFmtId="0" fontId="4" fillId="3" borderId="7" xfId="0" applyFont="1" applyFill="1" applyBorder="1"/>
    <xf numFmtId="0" fontId="9" fillId="3" borderId="9" xfId="0" applyFont="1" applyFill="1" applyBorder="1" applyAlignment="1">
      <alignment horizontal="left" vertical="center" wrapText="1"/>
    </xf>
    <xf numFmtId="0" fontId="3" fillId="3" borderId="9" xfId="0" applyFont="1" applyFill="1" applyBorder="1"/>
    <xf numFmtId="0" fontId="4" fillId="3" borderId="9" xfId="0" applyFont="1" applyFill="1" applyBorder="1"/>
    <xf numFmtId="0" fontId="4" fillId="3" borderId="8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0" fillId="0" borderId="5" xfId="0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20" fillId="6" borderId="6" xfId="0" applyFont="1" applyFill="1" applyBorder="1" applyAlignment="1">
      <alignment horizontal="center" vertical="center"/>
    </xf>
    <xf numFmtId="0" fontId="11" fillId="0" borderId="10" xfId="0" applyFont="1" applyBorder="1"/>
    <xf numFmtId="0" fontId="11" fillId="0" borderId="13" xfId="0" applyFont="1" applyBorder="1"/>
    <xf numFmtId="0" fontId="15" fillId="5" borderId="7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6" fillId="0" borderId="0" xfId="0" applyFont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7" fillId="2" borderId="14" xfId="0" applyFont="1" applyFill="1" applyBorder="1" applyAlignment="1">
      <alignment horizontal="center" vertical="center"/>
    </xf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2" fillId="4" borderId="2" xfId="0" applyFont="1" applyFill="1" applyBorder="1" applyAlignment="1">
      <alignment horizontal="center" vertical="center"/>
    </xf>
    <xf numFmtId="0" fontId="11" fillId="0" borderId="4" xfId="0" applyFont="1" applyBorder="1"/>
    <xf numFmtId="0" fontId="3" fillId="5" borderId="2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20" xfId="0" applyFont="1" applyBorder="1"/>
    <xf numFmtId="0" fontId="11" fillId="0" borderId="22" xfId="0" applyFont="1" applyBorder="1"/>
    <xf numFmtId="0" fontId="12" fillId="4" borderId="7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/>
    <xf numFmtId="0" fontId="3" fillId="5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2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0" fillId="3" borderId="2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3" fillId="5" borderId="2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21" xfId="0" applyFont="1" applyBorder="1"/>
    <xf numFmtId="0" fontId="22" fillId="0" borderId="23" xfId="0" applyFont="1" applyBorder="1" applyAlignment="1">
      <alignment horizontal="center" vertical="center" wrapText="1" readingOrder="1"/>
    </xf>
    <xf numFmtId="0" fontId="1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8E8BFFC-F889-41F6-9422-1DD374196061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995"/>
  <sheetViews>
    <sheetView showGridLines="0" tabSelected="1" topLeftCell="B6" zoomScale="85" zoomScaleNormal="85" workbookViewId="0">
      <selection activeCell="J6" sqref="J6"/>
    </sheetView>
  </sheetViews>
  <sheetFormatPr baseColWidth="10" defaultColWidth="12.625" defaultRowHeight="15" customHeight="1"/>
  <cols>
    <col min="1" max="1" width="2" customWidth="1"/>
    <col min="2" max="2" width="8" bestFit="1" customWidth="1"/>
    <col min="3" max="3" width="20.625" customWidth="1"/>
    <col min="4" max="4" width="23.625" customWidth="1"/>
    <col min="5" max="5" width="29.25" customWidth="1"/>
    <col min="6" max="6" width="15" customWidth="1"/>
    <col min="7" max="7" width="38" customWidth="1"/>
    <col min="8" max="8" width="10.625" customWidth="1"/>
    <col min="9" max="9" width="14.625" customWidth="1"/>
    <col min="10" max="12" width="10.625" customWidth="1"/>
    <col min="13" max="13" width="26.75" customWidth="1"/>
    <col min="14" max="14" width="27.125" customWidth="1"/>
    <col min="15" max="15" width="20.625" customWidth="1"/>
    <col min="16" max="26" width="9.25" customWidth="1"/>
  </cols>
  <sheetData>
    <row r="1" spans="2:16">
      <c r="I1" s="1"/>
      <c r="J1" s="1"/>
      <c r="K1" s="2"/>
      <c r="L1" s="3"/>
    </row>
    <row r="2" spans="2:16">
      <c r="I2" s="1"/>
      <c r="J2" s="1"/>
      <c r="K2" s="2"/>
      <c r="L2" s="3"/>
    </row>
    <row r="3" spans="2:16" ht="45" customHeight="1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2:16">
      <c r="H4" s="4"/>
      <c r="I4" s="1"/>
      <c r="J4" s="1"/>
      <c r="K4" s="2"/>
      <c r="L4" s="3"/>
    </row>
    <row r="5" spans="2:16" ht="60.75" customHeight="1">
      <c r="B5" s="31" t="s">
        <v>1</v>
      </c>
      <c r="C5" s="31" t="s">
        <v>2</v>
      </c>
      <c r="D5" s="32" t="s">
        <v>3</v>
      </c>
      <c r="E5" s="31" t="s">
        <v>4</v>
      </c>
      <c r="F5" s="31" t="s">
        <v>5</v>
      </c>
      <c r="G5" s="31" t="s">
        <v>6</v>
      </c>
      <c r="H5" s="31" t="s">
        <v>7</v>
      </c>
      <c r="I5" s="31" t="s">
        <v>8</v>
      </c>
      <c r="J5" s="31" t="s">
        <v>9</v>
      </c>
      <c r="K5" s="31" t="s">
        <v>10</v>
      </c>
      <c r="L5" s="31" t="s">
        <v>11</v>
      </c>
      <c r="M5" s="31" t="s">
        <v>12</v>
      </c>
      <c r="N5" s="31" t="s">
        <v>13</v>
      </c>
      <c r="O5" s="31" t="s">
        <v>14</v>
      </c>
    </row>
    <row r="6" spans="2:16" ht="121.9" customHeight="1">
      <c r="B6" s="33" t="s">
        <v>15</v>
      </c>
      <c r="C6" s="89" t="s">
        <v>37</v>
      </c>
      <c r="D6" s="89" t="s">
        <v>51</v>
      </c>
      <c r="E6" s="89" t="s">
        <v>79</v>
      </c>
      <c r="F6" s="89" t="s">
        <v>47</v>
      </c>
      <c r="G6" s="89" t="s">
        <v>80</v>
      </c>
      <c r="H6" s="89" t="s">
        <v>43</v>
      </c>
      <c r="I6" s="89" t="s">
        <v>38</v>
      </c>
      <c r="J6" s="89" t="s">
        <v>29</v>
      </c>
      <c r="K6" s="89" t="s">
        <v>16</v>
      </c>
      <c r="L6" s="89" t="s">
        <v>17</v>
      </c>
      <c r="M6" s="89" t="s">
        <v>49</v>
      </c>
      <c r="N6" s="89" t="s">
        <v>81</v>
      </c>
      <c r="O6" s="89" t="s">
        <v>39</v>
      </c>
    </row>
    <row r="7" spans="2:16" ht="87.6" customHeight="1">
      <c r="B7" s="33" t="s">
        <v>27</v>
      </c>
      <c r="C7" s="89" t="s">
        <v>82</v>
      </c>
      <c r="D7" s="89" t="s">
        <v>83</v>
      </c>
      <c r="E7" s="89" t="s">
        <v>84</v>
      </c>
      <c r="F7" s="89" t="s">
        <v>28</v>
      </c>
      <c r="G7" s="89" t="s">
        <v>85</v>
      </c>
      <c r="H7" s="89" t="s">
        <v>43</v>
      </c>
      <c r="I7" s="89" t="s">
        <v>32</v>
      </c>
      <c r="J7" s="89" t="s">
        <v>29</v>
      </c>
      <c r="K7" s="89" t="s">
        <v>16</v>
      </c>
      <c r="L7" s="89" t="s">
        <v>17</v>
      </c>
      <c r="M7" s="89" t="s">
        <v>86</v>
      </c>
      <c r="N7" s="89" t="s">
        <v>87</v>
      </c>
      <c r="O7" s="89" t="s">
        <v>50</v>
      </c>
    </row>
    <row r="8" spans="2:16" ht="99" customHeight="1">
      <c r="B8" s="33" t="s">
        <v>30</v>
      </c>
      <c r="C8" s="89" t="s">
        <v>88</v>
      </c>
      <c r="D8" s="89" t="s">
        <v>89</v>
      </c>
      <c r="E8" s="89" t="s">
        <v>90</v>
      </c>
      <c r="F8" s="89" t="s">
        <v>28</v>
      </c>
      <c r="G8" s="89" t="s">
        <v>91</v>
      </c>
      <c r="H8" s="89" t="s">
        <v>43</v>
      </c>
      <c r="I8" s="89" t="s">
        <v>38</v>
      </c>
      <c r="J8" s="89" t="s">
        <v>42</v>
      </c>
      <c r="K8" s="89" t="s">
        <v>48</v>
      </c>
      <c r="L8" s="89" t="s">
        <v>17</v>
      </c>
      <c r="M8" s="89" t="s">
        <v>92</v>
      </c>
      <c r="N8" s="89" t="s">
        <v>93</v>
      </c>
      <c r="O8" s="89" t="s">
        <v>44</v>
      </c>
      <c r="P8" s="27"/>
    </row>
    <row r="9" spans="2:16" ht="93.75" customHeight="1">
      <c r="B9" s="33" t="s">
        <v>33</v>
      </c>
      <c r="C9" s="89" t="s">
        <v>94</v>
      </c>
      <c r="D9" s="89" t="s">
        <v>95</v>
      </c>
      <c r="E9" s="89" t="s">
        <v>96</v>
      </c>
      <c r="F9" s="89" t="s">
        <v>47</v>
      </c>
      <c r="G9" s="89" t="s">
        <v>97</v>
      </c>
      <c r="H9" s="89" t="s">
        <v>43</v>
      </c>
      <c r="I9" s="89" t="s">
        <v>31</v>
      </c>
      <c r="J9" s="89" t="s">
        <v>42</v>
      </c>
      <c r="K9" s="89" t="s">
        <v>16</v>
      </c>
      <c r="L9" s="89" t="s">
        <v>17</v>
      </c>
      <c r="M9" s="89" t="s">
        <v>98</v>
      </c>
      <c r="N9" s="89" t="s">
        <v>99</v>
      </c>
      <c r="O9" s="89" t="s">
        <v>115</v>
      </c>
      <c r="P9" s="27"/>
    </row>
    <row r="10" spans="2:16" ht="98.45" customHeight="1">
      <c r="B10" s="33" t="s">
        <v>34</v>
      </c>
      <c r="C10" s="89" t="s">
        <v>100</v>
      </c>
      <c r="D10" s="89" t="s">
        <v>101</v>
      </c>
      <c r="E10" s="89" t="s">
        <v>102</v>
      </c>
      <c r="F10" s="89" t="s">
        <v>103</v>
      </c>
      <c r="G10" s="89" t="s">
        <v>104</v>
      </c>
      <c r="H10" s="89" t="s">
        <v>43</v>
      </c>
      <c r="I10" s="89" t="s">
        <v>105</v>
      </c>
      <c r="J10" s="89" t="s">
        <v>42</v>
      </c>
      <c r="K10" s="89" t="s">
        <v>48</v>
      </c>
      <c r="L10" s="89" t="s">
        <v>17</v>
      </c>
      <c r="M10" s="89" t="s">
        <v>106</v>
      </c>
      <c r="N10" s="89" t="s">
        <v>107</v>
      </c>
      <c r="O10" s="89" t="s">
        <v>45</v>
      </c>
    </row>
    <row r="11" spans="2:16" ht="114" customHeight="1">
      <c r="B11" s="33" t="s">
        <v>35</v>
      </c>
      <c r="C11" s="89" t="s">
        <v>108</v>
      </c>
      <c r="D11" s="89" t="s">
        <v>109</v>
      </c>
      <c r="E11" s="89" t="s">
        <v>110</v>
      </c>
      <c r="F11" s="89" t="s">
        <v>47</v>
      </c>
      <c r="G11" s="89" t="s">
        <v>111</v>
      </c>
      <c r="H11" s="89" t="s">
        <v>43</v>
      </c>
      <c r="I11" s="89" t="s">
        <v>112</v>
      </c>
      <c r="J11" s="89" t="s">
        <v>58</v>
      </c>
      <c r="K11" s="89" t="s">
        <v>16</v>
      </c>
      <c r="L11" s="89" t="s">
        <v>17</v>
      </c>
      <c r="M11" s="89" t="s">
        <v>113</v>
      </c>
      <c r="N11" s="89" t="s">
        <v>114</v>
      </c>
      <c r="O11" s="89" t="s">
        <v>46</v>
      </c>
    </row>
    <row r="12" spans="2:16" ht="102" customHeight="1">
      <c r="B12" s="33" t="s">
        <v>36</v>
      </c>
      <c r="C12" s="89" t="s">
        <v>54</v>
      </c>
      <c r="D12" s="89" t="s">
        <v>55</v>
      </c>
      <c r="E12" s="89" t="s">
        <v>56</v>
      </c>
      <c r="F12" s="89" t="s">
        <v>28</v>
      </c>
      <c r="G12" s="89" t="s">
        <v>57</v>
      </c>
      <c r="H12" s="88" t="s">
        <v>40</v>
      </c>
      <c r="I12" s="89" t="s">
        <v>32</v>
      </c>
      <c r="J12" s="89" t="s">
        <v>58</v>
      </c>
      <c r="K12" s="89" t="s">
        <v>48</v>
      </c>
      <c r="L12" s="89" t="s">
        <v>77</v>
      </c>
      <c r="M12" s="89" t="s">
        <v>59</v>
      </c>
      <c r="N12" s="89" t="s">
        <v>60</v>
      </c>
      <c r="O12" s="89" t="s">
        <v>61</v>
      </c>
    </row>
    <row r="13" spans="2:16" ht="106.5" customHeight="1">
      <c r="B13" s="33" t="s">
        <v>52</v>
      </c>
      <c r="C13" s="89" t="s">
        <v>62</v>
      </c>
      <c r="D13" s="89" t="s">
        <v>63</v>
      </c>
      <c r="E13" s="89" t="s">
        <v>64</v>
      </c>
      <c r="F13" s="89" t="s">
        <v>47</v>
      </c>
      <c r="G13" s="89" t="s">
        <v>65</v>
      </c>
      <c r="H13" s="89" t="s">
        <v>43</v>
      </c>
      <c r="I13" s="89" t="s">
        <v>66</v>
      </c>
      <c r="J13" s="89" t="s">
        <v>58</v>
      </c>
      <c r="K13" s="89" t="s">
        <v>16</v>
      </c>
      <c r="L13" s="89" t="s">
        <v>77</v>
      </c>
      <c r="M13" s="89" t="s">
        <v>67</v>
      </c>
      <c r="N13" s="89" t="s">
        <v>68</v>
      </c>
      <c r="O13" s="89" t="s">
        <v>69</v>
      </c>
    </row>
    <row r="14" spans="2:16" ht="93.75" customHeight="1">
      <c r="B14" s="33" t="s">
        <v>53</v>
      </c>
      <c r="C14" s="89" t="s">
        <v>70</v>
      </c>
      <c r="D14" s="89" t="s">
        <v>71</v>
      </c>
      <c r="E14" s="89" t="s">
        <v>72</v>
      </c>
      <c r="F14" s="89" t="s">
        <v>73</v>
      </c>
      <c r="G14" s="89" t="s">
        <v>74</v>
      </c>
      <c r="H14" s="88" t="s">
        <v>41</v>
      </c>
      <c r="I14" s="89" t="s">
        <v>31</v>
      </c>
      <c r="J14" s="89" t="s">
        <v>29</v>
      </c>
      <c r="K14" s="89" t="s">
        <v>16</v>
      </c>
      <c r="L14" s="89" t="s">
        <v>77</v>
      </c>
      <c r="M14" s="89" t="s">
        <v>75</v>
      </c>
      <c r="N14" s="89" t="s">
        <v>76</v>
      </c>
      <c r="O14" s="89" t="s">
        <v>78</v>
      </c>
    </row>
    <row r="15" spans="2:16" ht="39.75" customHeight="1">
      <c r="B15" s="28"/>
      <c r="C15" s="29"/>
      <c r="D15" s="29"/>
      <c r="E15" s="30"/>
      <c r="F15" s="30"/>
      <c r="G15" s="29"/>
      <c r="H15" s="29"/>
      <c r="I15" s="29"/>
    </row>
    <row r="16" spans="2:16" ht="19.5" customHeight="1">
      <c r="I16" s="1"/>
      <c r="J16" s="1"/>
      <c r="K16" s="2"/>
      <c r="L16" s="3"/>
    </row>
    <row r="17" spans="9:12" ht="19.5" customHeight="1">
      <c r="I17" s="1"/>
      <c r="J17" s="1"/>
      <c r="K17" s="2"/>
      <c r="L17" s="3"/>
    </row>
    <row r="18" spans="9:12" ht="19.5" customHeight="1">
      <c r="I18" s="1"/>
      <c r="J18" s="1"/>
      <c r="K18" s="2"/>
      <c r="L18" s="3"/>
    </row>
    <row r="19" spans="9:12" ht="19.5" customHeight="1">
      <c r="I19" s="1"/>
      <c r="J19" s="1"/>
      <c r="K19" s="6"/>
      <c r="L19" s="3"/>
    </row>
    <row r="20" spans="9:12" ht="19.5" customHeight="1">
      <c r="I20" s="1"/>
      <c r="J20" s="1"/>
      <c r="K20" s="6"/>
      <c r="L20" s="3"/>
    </row>
    <row r="21" spans="9:12" ht="19.5" customHeight="1">
      <c r="I21" s="1"/>
      <c r="J21" s="1"/>
      <c r="K21" s="2"/>
      <c r="L21" s="3"/>
    </row>
    <row r="22" spans="9:12" ht="19.5" customHeight="1">
      <c r="I22" s="1"/>
    </row>
    <row r="23" spans="9:12" ht="19.5" customHeight="1">
      <c r="I23" s="1"/>
    </row>
    <row r="24" spans="9:12" ht="19.5" customHeight="1">
      <c r="I24" s="1"/>
    </row>
    <row r="25" spans="9:12" ht="19.5" customHeight="1">
      <c r="I25" s="1"/>
    </row>
    <row r="26" spans="9:12" ht="19.5" customHeight="1">
      <c r="I26" s="1"/>
    </row>
    <row r="27" spans="9:12" ht="19.5" customHeight="1">
      <c r="I27" s="1"/>
    </row>
    <row r="28" spans="9:12" ht="19.5" customHeight="1">
      <c r="I28" s="1"/>
    </row>
    <row r="29" spans="9:12" ht="15.75" customHeight="1">
      <c r="I29" s="1"/>
    </row>
    <row r="30" spans="9:12" ht="15.75" customHeight="1">
      <c r="I30" s="1"/>
      <c r="J30" s="1"/>
      <c r="K30" s="2"/>
      <c r="L30" s="3"/>
    </row>
    <row r="31" spans="9:12" ht="15.75" customHeight="1">
      <c r="I31" s="1"/>
      <c r="J31" s="1"/>
      <c r="K31" s="2"/>
      <c r="L31" s="3"/>
    </row>
    <row r="32" spans="9:12" ht="15.75" customHeight="1">
      <c r="I32" s="1"/>
      <c r="J32" s="1"/>
      <c r="K32" s="2"/>
      <c r="L32" s="3"/>
    </row>
    <row r="33" spans="9:12" ht="15.75" customHeight="1">
      <c r="I33" s="1"/>
      <c r="J33" s="1"/>
      <c r="K33" s="2"/>
      <c r="L33" s="3"/>
    </row>
    <row r="34" spans="9:12" ht="15.75" customHeight="1">
      <c r="I34" s="1"/>
      <c r="J34" s="1"/>
      <c r="K34" s="2"/>
      <c r="L34" s="3"/>
    </row>
    <row r="35" spans="9:12" ht="15.75" customHeight="1">
      <c r="I35" s="1"/>
      <c r="J35" s="1"/>
      <c r="K35" s="2"/>
      <c r="L35" s="3"/>
    </row>
    <row r="36" spans="9:12" ht="15.75" customHeight="1">
      <c r="I36" s="1"/>
      <c r="J36" s="1"/>
      <c r="K36" s="2"/>
      <c r="L36" s="3"/>
    </row>
    <row r="37" spans="9:12" ht="15.75" customHeight="1">
      <c r="I37" s="1"/>
      <c r="J37" s="1"/>
      <c r="K37" s="2"/>
      <c r="L37" s="3"/>
    </row>
    <row r="38" spans="9:12" ht="15.75" customHeight="1">
      <c r="I38" s="1"/>
      <c r="J38" s="1"/>
      <c r="K38" s="2"/>
      <c r="L38" s="3"/>
    </row>
    <row r="39" spans="9:12" ht="15.75" customHeight="1">
      <c r="I39" s="1"/>
      <c r="J39" s="1"/>
      <c r="K39" s="2"/>
      <c r="L39" s="3"/>
    </row>
    <row r="40" spans="9:12" ht="15.75" customHeight="1">
      <c r="I40" s="1"/>
      <c r="J40" s="1"/>
      <c r="K40" s="2"/>
      <c r="L40" s="3"/>
    </row>
    <row r="41" spans="9:12" ht="15.75" customHeight="1">
      <c r="I41" s="1"/>
      <c r="J41" s="1"/>
      <c r="K41" s="2"/>
      <c r="L41" s="3"/>
    </row>
    <row r="42" spans="9:12" ht="15.75" customHeight="1">
      <c r="I42" s="1"/>
      <c r="J42" s="1"/>
      <c r="K42" s="2"/>
      <c r="L42" s="3"/>
    </row>
    <row r="43" spans="9:12" ht="15.75" customHeight="1">
      <c r="I43" s="1"/>
      <c r="J43" s="1"/>
      <c r="K43" s="2"/>
      <c r="L43" s="3"/>
    </row>
    <row r="44" spans="9:12" ht="15.75" customHeight="1">
      <c r="I44" s="1"/>
      <c r="J44" s="1"/>
      <c r="K44" s="2"/>
      <c r="L44" s="3"/>
    </row>
    <row r="45" spans="9:12" ht="15.75" customHeight="1">
      <c r="I45" s="1"/>
      <c r="J45" s="1"/>
      <c r="K45" s="2"/>
      <c r="L45" s="3"/>
    </row>
    <row r="46" spans="9:12" ht="15.75" customHeight="1">
      <c r="I46" s="1"/>
      <c r="J46" s="1"/>
      <c r="K46" s="2"/>
      <c r="L46" s="3"/>
    </row>
    <row r="47" spans="9:12" ht="15.75" customHeight="1">
      <c r="I47" s="1"/>
      <c r="J47" s="1"/>
      <c r="K47" s="2"/>
      <c r="L47" s="3"/>
    </row>
    <row r="48" spans="9:12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3"/>
      <c r="J994" s="3"/>
      <c r="K994" s="5"/>
      <c r="L994" s="3"/>
    </row>
    <row r="995" spans="9:12" ht="15" customHeight="1">
      <c r="I995" s="3"/>
      <c r="J995" s="3"/>
      <c r="K995" s="5"/>
      <c r="L995" s="3"/>
    </row>
  </sheetData>
  <mergeCells count="1">
    <mergeCell ref="B3:O3"/>
  </mergeCells>
  <phoneticPr fontId="23" type="noConversion"/>
  <dataValidations count="1">
    <dataValidation type="list" allowBlank="1" showErrorMessage="1" sqref="E15:F15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115" zoomScaleNormal="115" workbookViewId="0">
      <selection activeCell="K28" sqref="K28"/>
    </sheetView>
  </sheetViews>
  <sheetFormatPr baseColWidth="10" defaultColWidth="12.625" defaultRowHeight="15" customHeight="1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/>
    <row r="3" spans="2:16" ht="15" hidden="1" customHeight="1"/>
    <row r="4" spans="2:16" hidden="1">
      <c r="C4" s="7"/>
      <c r="D4" s="7"/>
      <c r="E4" s="7"/>
      <c r="F4" s="4"/>
    </row>
    <row r="5" spans="2:16" hidden="1">
      <c r="C5" s="7"/>
      <c r="D5" s="7"/>
      <c r="E5" s="7"/>
      <c r="F5" s="4"/>
    </row>
    <row r="6" spans="2:16" ht="39.75" customHeight="1">
      <c r="B6" s="74" t="s">
        <v>18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55"/>
    </row>
    <row r="7" spans="2:16" ht="9.75" customHeight="1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6" ht="9.75" customHeight="1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>
      <c r="B9" s="25"/>
      <c r="C9" s="9" t="s">
        <v>1</v>
      </c>
      <c r="D9" s="10"/>
      <c r="E9" s="54" t="s">
        <v>19</v>
      </c>
      <c r="F9" s="55"/>
      <c r="G9" s="10"/>
      <c r="H9" s="54" t="s">
        <v>11</v>
      </c>
      <c r="I9" s="55"/>
      <c r="J9" s="11"/>
      <c r="K9" s="11"/>
      <c r="L9" s="11"/>
      <c r="M9" s="11"/>
      <c r="N9" s="11"/>
      <c r="O9" s="11"/>
      <c r="P9" s="26"/>
    </row>
    <row r="10" spans="2:16" ht="30" customHeight="1">
      <c r="B10" s="25"/>
      <c r="C10" s="12" t="s">
        <v>15</v>
      </c>
      <c r="D10" s="13"/>
      <c r="E10" s="76" t="str">
        <f>VLOOKUP(C10,'Formato descripción HU'!B6:O15,5,0)</f>
        <v>Administrador / Traductor</v>
      </c>
      <c r="F10" s="77"/>
      <c r="G10" s="14"/>
      <c r="H10" s="56" t="str">
        <f>VLOOKUP(C10,'Formato descripción HU'!B6:O15,11,0)</f>
        <v>Terminado</v>
      </c>
      <c r="I10" s="55"/>
      <c r="J10" s="14"/>
      <c r="K10" s="11"/>
      <c r="L10" s="11"/>
      <c r="M10" s="11"/>
      <c r="N10" s="11"/>
      <c r="O10" s="11"/>
      <c r="P10" s="26"/>
    </row>
    <row r="11" spans="2:16" ht="9.75" customHeight="1">
      <c r="B11" s="25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6"/>
    </row>
    <row r="12" spans="2:16" ht="30" customHeight="1">
      <c r="B12" s="25"/>
      <c r="C12" s="9" t="s">
        <v>20</v>
      </c>
      <c r="D12" s="13"/>
      <c r="E12" s="54" t="s">
        <v>10</v>
      </c>
      <c r="F12" s="55"/>
      <c r="G12" s="14"/>
      <c r="H12" s="54" t="s">
        <v>21</v>
      </c>
      <c r="I12" s="55"/>
      <c r="J12" s="14"/>
      <c r="K12" s="16"/>
      <c r="L12" s="16"/>
      <c r="M12" s="11"/>
      <c r="N12" s="16"/>
      <c r="O12" s="16"/>
      <c r="P12" s="26"/>
    </row>
    <row r="13" spans="2:16" ht="30" customHeight="1">
      <c r="B13" s="25"/>
      <c r="C13" s="12" t="str">
        <f>VLOOKUP('Historia de Usuario'!C10,'Formato descripción HU'!B6:O15,8,0)</f>
        <v>8 hrs</v>
      </c>
      <c r="D13" s="13"/>
      <c r="E13" s="56" t="str">
        <f>VLOOKUP(C10,'Formato descripción HU'!B6:O15,10,0)</f>
        <v>Alta</v>
      </c>
      <c r="F13" s="55"/>
      <c r="G13" s="14"/>
      <c r="H13" s="56" t="str">
        <f>VLOOKUP(C10,'Formato descripción HU'!B6:O15,7,0)</f>
        <v>Jelen Lucio</v>
      </c>
      <c r="I13" s="55"/>
      <c r="J13" s="14"/>
      <c r="K13" s="16"/>
      <c r="L13" s="16"/>
      <c r="M13" s="11"/>
      <c r="N13" s="16"/>
      <c r="O13" s="16"/>
      <c r="P13" s="26"/>
    </row>
    <row r="14" spans="2:16" ht="9.75" customHeight="1">
      <c r="B14" s="25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6"/>
    </row>
    <row r="15" spans="2:16" ht="19.5" customHeight="1">
      <c r="B15" s="25"/>
      <c r="C15" s="57" t="s">
        <v>22</v>
      </c>
      <c r="D15" s="65" t="str">
        <f>VLOOKUP(C10,'Formato descripción HU'!B6:O15,3,0)</f>
        <v>El sistema debe permitir el inicio de sesión seguro con credenciales únicas y control de sesión activa.</v>
      </c>
      <c r="E15" s="59"/>
      <c r="F15" s="11"/>
      <c r="G15" s="57" t="s">
        <v>23</v>
      </c>
      <c r="H15" s="65" t="str">
        <f>VLOOKUP(C10,'Formato descripción HU'!B6:O15,4,0)</f>
        <v>Garantizar acceso seguro y redirigir al usuario según su rol (Admin, Superadmin o Traductor).</v>
      </c>
      <c r="I15" s="86"/>
      <c r="J15" s="59"/>
      <c r="K15" s="11"/>
      <c r="L15" s="36" t="s">
        <v>24</v>
      </c>
      <c r="M15" s="39" t="str">
        <f>VLOOKUP(C10,'Formato descripción HU'!B6:O15,6,0)</f>
        <v>Diseñar login, programar validación de credenciales, control de roles/permisos, alertas de error en pantalla y persistencia mediante JWT.</v>
      </c>
      <c r="N15" s="40"/>
      <c r="O15" s="41"/>
      <c r="P15" s="26"/>
    </row>
    <row r="16" spans="2:16" ht="19.5" customHeight="1">
      <c r="B16" s="25"/>
      <c r="C16" s="37"/>
      <c r="D16" s="63"/>
      <c r="E16" s="64"/>
      <c r="F16" s="11"/>
      <c r="G16" s="37"/>
      <c r="H16" s="63"/>
      <c r="I16" s="35"/>
      <c r="J16" s="64"/>
      <c r="K16" s="11"/>
      <c r="L16" s="37"/>
      <c r="M16" s="42"/>
      <c r="N16" s="43"/>
      <c r="O16" s="44"/>
      <c r="P16" s="26"/>
    </row>
    <row r="17" spans="2:16" ht="19.5" customHeight="1">
      <c r="B17" s="25"/>
      <c r="C17" s="38"/>
      <c r="D17" s="60"/>
      <c r="E17" s="61"/>
      <c r="F17" s="11"/>
      <c r="G17" s="38"/>
      <c r="H17" s="60"/>
      <c r="I17" s="87"/>
      <c r="J17" s="61"/>
      <c r="K17" s="11"/>
      <c r="L17" s="38"/>
      <c r="M17" s="45"/>
      <c r="N17" s="46"/>
      <c r="O17" s="47"/>
      <c r="P17" s="26"/>
    </row>
    <row r="18" spans="2:16" ht="9.75" customHeight="1">
      <c r="B18" s="25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6"/>
    </row>
    <row r="19" spans="2:16" ht="19.5" customHeight="1">
      <c r="B19" s="25"/>
      <c r="C19" s="58" t="s">
        <v>25</v>
      </c>
      <c r="D19" s="59"/>
      <c r="E19" s="48" t="str">
        <f>VLOOKUP(C10,'Formato descripción HU'!B6:O15,14,0)</f>
        <v>Sistema de Autenticación y Acceso</v>
      </c>
      <c r="F19" s="49"/>
      <c r="G19" s="49"/>
      <c r="H19" s="49"/>
      <c r="I19" s="49"/>
      <c r="J19" s="49"/>
      <c r="K19" s="49"/>
      <c r="L19" s="49"/>
      <c r="M19" s="49"/>
      <c r="N19" s="49"/>
      <c r="O19" s="50"/>
      <c r="P19" s="26"/>
    </row>
    <row r="20" spans="2:16" ht="19.5" customHeight="1">
      <c r="B20" s="25"/>
      <c r="C20" s="60"/>
      <c r="D20" s="61"/>
      <c r="E20" s="51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26"/>
    </row>
    <row r="21" spans="2:16" ht="9.75" customHeight="1">
      <c r="B21" s="2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6"/>
    </row>
    <row r="22" spans="2:16" ht="19.5" customHeight="1">
      <c r="B22" s="25"/>
      <c r="C22" s="62" t="s">
        <v>26</v>
      </c>
      <c r="D22" s="59"/>
      <c r="E22" s="65" t="str">
        <f>VLOOKUP(C10,'Formato descripción HU'!B6:O15,12,0)</f>
        <v>Validar alertas con datos erróneos o vacíos. Ingresar con cuenta válida, verificar rol y navegar sin perder la sesión.</v>
      </c>
      <c r="F22" s="66"/>
      <c r="G22" s="66"/>
      <c r="H22" s="67"/>
      <c r="I22" s="11"/>
      <c r="J22" s="62" t="s">
        <v>13</v>
      </c>
      <c r="K22" s="59"/>
      <c r="L22" s="65" t="str">
        <f>VLOOKUP(C10,'Formato descripción HU'!B6:O15,13,0)</f>
        <v>Base fundamental del sistema. El administrador será quien cree las cuentas de los traductores.</v>
      </c>
      <c r="M22" s="78"/>
      <c r="N22" s="78"/>
      <c r="O22" s="79"/>
      <c r="P22" s="26"/>
    </row>
    <row r="23" spans="2:16" ht="19.5" customHeight="1">
      <c r="B23" s="25"/>
      <c r="C23" s="63"/>
      <c r="D23" s="64"/>
      <c r="E23" s="68"/>
      <c r="F23" s="69"/>
      <c r="G23" s="69"/>
      <c r="H23" s="70"/>
      <c r="I23" s="11"/>
      <c r="J23" s="63"/>
      <c r="K23" s="64"/>
      <c r="L23" s="80"/>
      <c r="M23" s="81"/>
      <c r="N23" s="81"/>
      <c r="O23" s="82"/>
      <c r="P23" s="26"/>
    </row>
    <row r="24" spans="2:16" ht="19.5" customHeight="1">
      <c r="B24" s="25"/>
      <c r="C24" s="60"/>
      <c r="D24" s="61"/>
      <c r="E24" s="71"/>
      <c r="F24" s="72"/>
      <c r="G24" s="72"/>
      <c r="H24" s="73"/>
      <c r="I24" s="11"/>
      <c r="J24" s="60"/>
      <c r="K24" s="61"/>
      <c r="L24" s="83"/>
      <c r="M24" s="84"/>
      <c r="N24" s="84"/>
      <c r="O24" s="85"/>
      <c r="P24" s="26"/>
    </row>
    <row r="25" spans="2:16" ht="9.75" customHeight="1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Jaime Cabezas</cp:lastModifiedBy>
  <cp:revision/>
  <cp:lastPrinted>2026-05-13T16:36:19Z</cp:lastPrinted>
  <dcterms:created xsi:type="dcterms:W3CDTF">2019-10-21T15:37:14Z</dcterms:created>
  <dcterms:modified xsi:type="dcterms:W3CDTF">2026-06-22T16:50:15Z</dcterms:modified>
  <cp:category/>
  <cp:contentStatus/>
</cp:coreProperties>
</file>