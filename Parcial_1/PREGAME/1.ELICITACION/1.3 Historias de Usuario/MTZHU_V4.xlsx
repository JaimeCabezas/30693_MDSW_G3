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D1F5AC-9AA8-4616-9507-79121A9E62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<sst xmlns="http://schemas.openxmlformats.org/spreadsheetml/2006/main" count="121" uniqueCount="94">
  <si>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</si>
  <si>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</si>
  <si>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</si>
  <si>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</si>
  <si>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</si>
  <si>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</si>
  <si>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</si>
  <si>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</si>
  <si>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</si>
  <si>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</si>
  <si>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</si>
  <si>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</si>
  <si>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</si>
  <si>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</si>
  <si>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</si>
  <si>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</si>
  <si>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</si>
  <si>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</si>
  <si>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</si>
  <si>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</si>
  <si>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</si>
  <si>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</si>
  <si>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</si>
  <si>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</si>
  <si>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</si>
  <si>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</si>
  <si>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</si>
  <si>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</si>
  <si>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</si>
  <si>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</si>
  <si>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</si>
  <si>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</si>
  <si>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</si>
  <si>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Administrador</t>
  </si>
  <si>
    <t>Sprint 1</t>
  </si>
  <si>
    <t>REQ003</t>
  </si>
  <si>
    <t>12 hrs</t>
  </si>
  <si>
    <t>10 hrs</t>
  </si>
  <si>
    <t xml:space="preserve">El sistema debe emitir notificaciones automáticas y alertas de riesgo de retraso. </t>
  </si>
  <si>
    <t xml:space="preserve">Desarrollar un servicio de alertas que compare la fecha actual con la fecha de entrega establecida. </t>
  </si>
  <si>
    <t>15 hrs</t>
  </si>
  <si>
    <t>REQ004</t>
  </si>
  <si>
    <t>REQ005</t>
  </si>
  <si>
    <t>REQ006</t>
  </si>
  <si>
    <t>REQ007</t>
  </si>
  <si>
    <t>No existe un sistema de autenticación para acceder a la plataforma.</t>
  </si>
  <si>
    <t>8 hrs</t>
  </si>
  <si>
    <t>Sistema de Autenticación y Acceso</t>
  </si>
  <si>
    <t>Bryan Cevallos</t>
  </si>
  <si>
    <t>El administrador debe ser el único con permisos para crear usuarios. Incluye opción de edición para corregir errores.</t>
  </si>
  <si>
    <t>Jaime Cabezas</t>
  </si>
  <si>
    <t>Sprint 2</t>
  </si>
  <si>
    <t>Información financiera privada. Solo el administrador tiene acceso.</t>
  </si>
  <si>
    <t>Jelen Lucio</t>
  </si>
  <si>
    <t>Reporte de Auditoría</t>
  </si>
  <si>
    <t>Asignación de Documentos Traductores</t>
  </si>
  <si>
    <t>Gestión de Tarifas</t>
  </si>
  <si>
    <t>Módulo de Alertas</t>
  </si>
  <si>
    <t>Administrador / Traductor</t>
  </si>
  <si>
    <t>Media</t>
  </si>
  <si>
    <t>Traductor</t>
  </si>
  <si>
    <t>Asegura una correcta administración de tarifas y legibilidad en la interfaz.</t>
  </si>
  <si>
    <t>Garantizar acceso seguro y redirigir al usuario según su rol (Admin, Universitario o Traductor).</t>
  </si>
  <si>
    <t>Diseñar login, programar validación de credenciales, control de roles/permisos, alertas de error en pantalla y persistencia de sesión.</t>
  </si>
  <si>
    <t>Validar alertas con datos erróneos o vacíos. Ingresar con cuenta válida, verificar rol y navegar sin perder la sesión.</t>
  </si>
  <si>
    <t>Recibir archivos ordenadamente, asegurando formatos compatibles y mostrando el progreso.</t>
  </si>
  <si>
    <t>Integrar botón para explorador local, programar filtro de formatos (Word y PDF) y diseñar barra de progreso dinámica.</t>
  </si>
  <si>
    <t>Intentar subir extensión inválida y confirmar bloqueo. Subir Word/PDF válido y verificar animación de carga exitosa.</t>
  </si>
  <si>
    <t>Administradores no pueden ver ni controlar las acciones de los usuarios.</t>
  </si>
  <si>
    <t>Proveer un historial limpio para realizar auditorías rápidas sobre las operaciones del sistema.</t>
  </si>
  <si>
    <t>Habilitar sección de bitácora, programar captura de ingresos y cargas con fecha/hora exacta, y estructurar vista limpia de historial.</t>
  </si>
  <si>
    <t>Hacer login o subir archivos con cuenta de prueba y verificar su registro inmediato en el panel de auditoría con fecha y hora.</t>
  </si>
  <si>
    <t>Asegura el control y trazabilidad de los movimientos de la plataforma.</t>
  </si>
  <si>
    <t>Traductores ven documentos ajenos, causando desorden y falta de privacidad.</t>
  </si>
  <si>
    <t>Lograr que cada traductor gestione solo lo suyo y visualice cambios de estado al instante.</t>
  </si>
  <si>
    <t>Construir Dashboard en tabla con documentos y estados, crear filtro en base de datos por usuario y programar actualización dinámica.</t>
  </si>
  <si>
    <t>Ingresar con distintas cuentas de traductores y comprobar que la tabla liste solo sus archivos y se actualice al cambiar estados.</t>
  </si>
  <si>
    <t>Optimiza el flujo operativo del traductor y resguarda la privacidad.</t>
  </si>
  <si>
    <t>Administrador necesita ajustar costos ágilmente sin perder legibilidad visual.</t>
  </si>
  <si>
    <t>Aplicar precios al instante asegurando visibilidad correcta en cualquier tema gráfico.</t>
  </si>
  <si>
    <t>Desarrollar ventana emergente, aplicar estilos para Modo Claro/Oscuro, validar entrada solo para decimales y programar guardado inmediato.</t>
  </si>
  <si>
    <t>Abrir modal, cambiar tema de la web para evaluar contraste, intentar digitar letras (bloqueo) y guardar monto validando recálculo.</t>
  </si>
  <si>
    <t>Usuarios se enteran tarde de los cambios por requerir recarga manual del navegador.</t>
  </si>
  <si>
    <t>Notificar sucesos críticos en el segundo exacto en que ocurren sin recargar la página.</t>
  </si>
  <si>
    <t>Desencadenar un evento desde otra cuenta y verificar la aparición visual del aviso en pantalla al instante sin recargar la web.</t>
  </si>
  <si>
    <t>No se dispone de un medio digital centralizado y controlado para subir archivos de traducción.</t>
  </si>
  <si>
    <t>Usuario</t>
  </si>
  <si>
    <t>Gestión de Documentos</t>
  </si>
  <si>
    <t>Base fundamental del sistema. El administrador será quien cree las cuentas de los traductores</t>
  </si>
  <si>
    <t>El sistema debe permitir el inicio de sesión seguro con credenciales únicas y control de sesión activa.</t>
  </si>
  <si>
    <t>El sistema debe permitir listar los archivos asignados a cada cuenta mediante un Dashboard interactivo.</t>
  </si>
  <si>
    <t>El sistema de permitir la carga directa de documentos restringiendo las extensiones permitidas.</t>
  </si>
  <si>
    <t>El sistema debe permitir grabar automáticamente en segundo plano las acciones clave de los usuarios.</t>
  </si>
  <si>
    <t>El sistema debe permitir proveer una ventana modal interactiva y adaptativa para actualizar tarifas en USD.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</si>
</sst>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1"/>
      <color rgb="FF1F1F1F"/>
      <name val="Arial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2" fillId="0" borderId="6"/>
  </cellStyleXfs>
  <cellXfs count="9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4" fillId="3" borderId="6" xfId="0" applyFont="1" applyFill="1" applyBorder="1"/>
    <xf numFmtId="0" fontId="15" fillId="5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21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8" xfId="0" applyFont="1" applyFill="1" applyBorder="1"/>
    <xf numFmtId="0" fontId="10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0" fillId="0" borderId="6" xfId="0" applyBorder="1"/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22" fillId="2" borderId="1" xfId="0" applyFont="1" applyFill="1" applyBorder="1" applyAlignment="1">
      <alignment horizontal="center" vertical="center" wrapText="1"/>
    </xf>
    <xf numFmtId="0" fontId="23" fillId="0" borderId="25" xfId="0" applyFont="1" applyBorder="1" applyAlignment="1">
      <alignment vertical="center" wrapText="1" readingOrder="1"/>
    </xf>
    <xf numFmtId="0" fontId="24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 readingOrder="1"/>
    </xf>
    <xf numFmtId="0" fontId="27" fillId="0" borderId="26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21" fillId="6" borderId="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16" fillId="5" borderId="8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7" fillId="0" borderId="0" xfId="0" applyFont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8" fillId="2" borderId="15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3" fillId="4" borderId="3" xfId="0" applyFont="1" applyFill="1" applyBorder="1" applyAlignment="1">
      <alignment horizontal="center" vertical="center"/>
    </xf>
    <xf numFmtId="0" fontId="12" fillId="0" borderId="5" xfId="0" applyFont="1" applyBorder="1"/>
    <xf numFmtId="0" fontId="3" fillId="5" borderId="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21" xfId="0" applyFont="1" applyBorder="1"/>
    <xf numFmtId="0" fontId="12" fillId="0" borderId="23" xfId="0" applyFont="1" applyBorder="1"/>
    <xf numFmtId="0" fontId="13" fillId="4" borderId="8" xfId="0" applyFont="1" applyFill="1" applyBorder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13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3" fillId="5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2" fillId="0" borderId="22" xfId="0" applyFont="1" applyBorder="1"/>
    <xf numFmtId="0" fontId="25" fillId="0" borderId="26" xfId="0" applyFont="1" applyBorder="1" applyAlignment="1">
      <alignment vertical="center" wrapText="1" readingOrder="1"/>
    </xf>
  </cellXfs>
  <cellStyles count="2">
    <cellStyle name="Normal" xfId="0" builtinId="0"/>
    <cellStyle name="Normal 2" xfId="1" xr:uid="{48E8BFFC-F889-41F6-9422-1DD374196061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2"/>
  <sheetViews>
    <sheetView showGridLines="0" topLeftCell="A8" zoomScale="70" zoomScaleNormal="70" workbookViewId="0">
      <selection activeCell="E12" sqref="E12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4" width="20.59765625" customWidth="1"/>
    <col min="5" max="5" width="29.19921875" customWidth="1"/>
    <col min="6" max="6" width="15" customWidth="1"/>
    <col min="7" max="7" width="38" customWidth="1"/>
    <col min="8" max="12" width="10.59765625" customWidth="1"/>
    <col min="13" max="13" width="26.69921875" customWidth="1"/>
    <col min="14" max="14" width="27.09765625" customWidth="1"/>
    <col min="15" max="15" width="20.59765625" customWidth="1"/>
    <col min="16" max="26" width="9.19921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6" ht="14.4" x14ac:dyDescent="0.3">
      <c r="H4" s="4"/>
      <c r="I4" s="1"/>
      <c r="J4" s="1"/>
      <c r="K4" s="2"/>
      <c r="L4" s="3"/>
    </row>
    <row r="5" spans="2:16" ht="39.75" customHeight="1" thickBot="1" x14ac:dyDescent="0.3">
      <c r="B5" s="5" t="s">
        <v>1</v>
      </c>
      <c r="C5" s="5" t="s">
        <v>2</v>
      </c>
      <c r="D5" s="3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121.8" customHeight="1" thickBot="1" x14ac:dyDescent="0.3">
      <c r="B6" s="37" t="s">
        <v>15</v>
      </c>
      <c r="C6" s="38" t="s">
        <v>45</v>
      </c>
      <c r="D6" s="95" t="s">
        <v>89</v>
      </c>
      <c r="E6" s="95" t="s">
        <v>62</v>
      </c>
      <c r="F6" s="95" t="s">
        <v>58</v>
      </c>
      <c r="G6" s="95" t="s">
        <v>63</v>
      </c>
      <c r="H6" s="95" t="s">
        <v>53</v>
      </c>
      <c r="I6" s="95" t="s">
        <v>46</v>
      </c>
      <c r="J6" s="95" t="s">
        <v>34</v>
      </c>
      <c r="K6" s="95" t="s">
        <v>16</v>
      </c>
      <c r="L6" s="95" t="s">
        <v>17</v>
      </c>
      <c r="M6" s="95" t="s">
        <v>64</v>
      </c>
      <c r="N6" s="95" t="s">
        <v>88</v>
      </c>
      <c r="O6" s="95" t="s">
        <v>47</v>
      </c>
    </row>
    <row r="7" spans="2:16" ht="87.6" customHeight="1" thickBot="1" x14ac:dyDescent="0.3">
      <c r="B7" s="37" t="s">
        <v>32</v>
      </c>
      <c r="C7" s="95" t="s">
        <v>85</v>
      </c>
      <c r="D7" s="95" t="s">
        <v>91</v>
      </c>
      <c r="E7" s="95" t="s">
        <v>65</v>
      </c>
      <c r="F7" s="95" t="s">
        <v>86</v>
      </c>
      <c r="G7" s="95" t="s">
        <v>66</v>
      </c>
      <c r="H7" s="95" t="s">
        <v>48</v>
      </c>
      <c r="I7" s="95" t="s">
        <v>37</v>
      </c>
      <c r="J7" s="95" t="s">
        <v>34</v>
      </c>
      <c r="K7" s="95" t="s">
        <v>16</v>
      </c>
      <c r="L7" s="95" t="s">
        <v>17</v>
      </c>
      <c r="M7" s="95" t="s">
        <v>67</v>
      </c>
      <c r="N7" s="95" t="s">
        <v>49</v>
      </c>
      <c r="O7" s="95" t="s">
        <v>87</v>
      </c>
    </row>
    <row r="8" spans="2:16" ht="99" customHeight="1" thickBot="1" x14ac:dyDescent="0.3">
      <c r="B8" s="37" t="s">
        <v>35</v>
      </c>
      <c r="C8" s="95" t="s">
        <v>68</v>
      </c>
      <c r="D8" s="95" t="s">
        <v>92</v>
      </c>
      <c r="E8" s="95" t="s">
        <v>69</v>
      </c>
      <c r="F8" s="95" t="s">
        <v>33</v>
      </c>
      <c r="G8" s="95" t="s">
        <v>70</v>
      </c>
      <c r="H8" s="95" t="s">
        <v>50</v>
      </c>
      <c r="I8" s="95" t="s">
        <v>36</v>
      </c>
      <c r="J8" s="95" t="s">
        <v>34</v>
      </c>
      <c r="K8" s="95" t="s">
        <v>59</v>
      </c>
      <c r="L8" s="95" t="s">
        <v>17</v>
      </c>
      <c r="M8" s="95" t="s">
        <v>71</v>
      </c>
      <c r="N8" s="95" t="s">
        <v>72</v>
      </c>
      <c r="O8" s="95" t="s">
        <v>54</v>
      </c>
      <c r="P8" s="28"/>
    </row>
    <row r="9" spans="2:16" ht="75" customHeight="1" thickBot="1" x14ac:dyDescent="0.3">
      <c r="B9" s="37" t="s">
        <v>41</v>
      </c>
      <c r="C9" s="95" t="s">
        <v>73</v>
      </c>
      <c r="D9" s="95" t="s">
        <v>90</v>
      </c>
      <c r="E9" s="95" t="s">
        <v>74</v>
      </c>
      <c r="F9" s="95" t="s">
        <v>60</v>
      </c>
      <c r="G9" s="95" t="s">
        <v>75</v>
      </c>
      <c r="H9" s="95" t="s">
        <v>53</v>
      </c>
      <c r="I9" s="95" t="s">
        <v>37</v>
      </c>
      <c r="J9" s="95" t="s">
        <v>51</v>
      </c>
      <c r="K9" s="95" t="s">
        <v>16</v>
      </c>
      <c r="L9" s="95" t="s">
        <v>17</v>
      </c>
      <c r="M9" s="95" t="s">
        <v>76</v>
      </c>
      <c r="N9" s="95" t="s">
        <v>77</v>
      </c>
      <c r="O9" s="95" t="s">
        <v>55</v>
      </c>
      <c r="P9" s="28"/>
    </row>
    <row r="10" spans="2:16" ht="98.4" customHeight="1" thickBot="1" x14ac:dyDescent="0.3">
      <c r="B10" s="37" t="s">
        <v>42</v>
      </c>
      <c r="C10" s="95" t="s">
        <v>78</v>
      </c>
      <c r="D10" s="95" t="s">
        <v>93</v>
      </c>
      <c r="E10" s="95" t="s">
        <v>79</v>
      </c>
      <c r="F10" s="95" t="s">
        <v>33</v>
      </c>
      <c r="G10" s="95" t="s">
        <v>80</v>
      </c>
      <c r="H10" s="95" t="s">
        <v>48</v>
      </c>
      <c r="I10" s="95" t="s">
        <v>40</v>
      </c>
      <c r="J10" s="95" t="s">
        <v>51</v>
      </c>
      <c r="K10" s="95" t="s">
        <v>16</v>
      </c>
      <c r="L10" s="95" t="s">
        <v>17</v>
      </c>
      <c r="M10" s="95" t="s">
        <v>81</v>
      </c>
      <c r="N10" s="95" t="s">
        <v>61</v>
      </c>
      <c r="O10" s="95" t="s">
        <v>56</v>
      </c>
    </row>
    <row r="11" spans="2:16" ht="114" customHeight="1" thickBot="1" x14ac:dyDescent="0.3">
      <c r="B11" s="37" t="s">
        <v>43</v>
      </c>
      <c r="C11" s="95" t="s">
        <v>82</v>
      </c>
      <c r="D11" s="95" t="s">
        <v>38</v>
      </c>
      <c r="E11" s="95" t="s">
        <v>83</v>
      </c>
      <c r="F11" s="95" t="s">
        <v>58</v>
      </c>
      <c r="G11" s="95" t="s">
        <v>39</v>
      </c>
      <c r="H11" s="95" t="s">
        <v>50</v>
      </c>
      <c r="I11" s="95" t="s">
        <v>46</v>
      </c>
      <c r="J11" s="95" t="s">
        <v>51</v>
      </c>
      <c r="K11" s="95" t="s">
        <v>16</v>
      </c>
      <c r="L11" s="95" t="s">
        <v>17</v>
      </c>
      <c r="M11" s="95" t="s">
        <v>84</v>
      </c>
      <c r="N11" s="95" t="s">
        <v>52</v>
      </c>
      <c r="O11" s="95" t="s">
        <v>57</v>
      </c>
    </row>
    <row r="12" spans="2:16" ht="88.95" customHeight="1" thickBot="1" x14ac:dyDescent="0.3">
      <c r="B12" s="37" t="s">
        <v>44</v>
      </c>
      <c r="C12" s="36"/>
      <c r="D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2:16" ht="39.75" customHeight="1" thickBot="1" x14ac:dyDescent="0.3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2:16" ht="39.75" customHeight="1" thickBot="1" x14ac:dyDescent="0.3">
      <c r="B14" s="29"/>
      <c r="C14" s="30"/>
      <c r="D14" s="30"/>
      <c r="E14" s="39"/>
      <c r="F14" s="39"/>
      <c r="G14" s="39"/>
      <c r="H14" s="39"/>
      <c r="I14" s="39"/>
      <c r="J14" s="39"/>
      <c r="K14" s="31"/>
      <c r="L14" s="31"/>
      <c r="M14" s="32"/>
      <c r="N14" s="32"/>
      <c r="O14" s="32"/>
    </row>
    <row r="15" spans="2:16" ht="39.75" customHeight="1" thickBot="1" x14ac:dyDescent="0.3">
      <c r="B15" s="29"/>
      <c r="C15" s="30"/>
      <c r="D15" s="30"/>
      <c r="E15" s="39"/>
      <c r="F15" s="39"/>
      <c r="G15" s="40"/>
      <c r="H15" s="40"/>
      <c r="I15" s="40"/>
      <c r="J15" s="40"/>
      <c r="K15" s="31"/>
      <c r="L15" s="31"/>
      <c r="M15" s="30"/>
      <c r="N15" s="30"/>
      <c r="O15" s="30"/>
    </row>
    <row r="16" spans="2:16" ht="39.75" customHeight="1" thickBot="1" x14ac:dyDescent="0.3">
      <c r="B16" s="29"/>
      <c r="C16" s="30"/>
      <c r="D16" s="30"/>
      <c r="E16" s="39"/>
      <c r="F16" s="39"/>
      <c r="G16" s="40"/>
      <c r="H16" s="40"/>
      <c r="I16" s="40"/>
      <c r="J16" s="40"/>
      <c r="K16" s="31"/>
      <c r="L16" s="31"/>
      <c r="M16" s="30"/>
      <c r="N16" s="30"/>
      <c r="O16" s="30"/>
    </row>
    <row r="17" spans="2:15" ht="39.75" customHeight="1" thickBot="1" x14ac:dyDescent="0.3">
      <c r="B17" s="29"/>
      <c r="C17" s="30"/>
      <c r="D17" s="30"/>
      <c r="E17" s="39"/>
      <c r="F17" s="39"/>
      <c r="G17" s="40"/>
      <c r="H17" s="40"/>
      <c r="I17" s="40"/>
      <c r="J17" s="40"/>
      <c r="K17" s="31"/>
      <c r="L17" s="31"/>
      <c r="M17" s="30"/>
      <c r="N17" s="30"/>
      <c r="O17" s="30"/>
    </row>
    <row r="18" spans="2:15" ht="39.75" customHeight="1" thickBot="1" x14ac:dyDescent="0.3">
      <c r="B18" s="29"/>
      <c r="C18" s="30"/>
      <c r="D18" s="30"/>
      <c r="E18" s="39"/>
      <c r="F18" s="39"/>
      <c r="G18" s="40"/>
      <c r="H18" s="40"/>
      <c r="I18" s="40"/>
      <c r="J18" s="40"/>
      <c r="K18" s="31"/>
      <c r="L18" s="31"/>
      <c r="M18" s="30"/>
      <c r="N18" s="30"/>
      <c r="O18" s="30"/>
    </row>
    <row r="19" spans="2:15" ht="39.75" customHeight="1" thickBot="1" x14ac:dyDescent="0.3">
      <c r="B19" s="29"/>
      <c r="C19" s="30"/>
      <c r="D19" s="30"/>
      <c r="E19" s="39"/>
      <c r="F19" s="39"/>
      <c r="G19" s="40"/>
      <c r="H19" s="40"/>
      <c r="I19" s="40"/>
      <c r="J19" s="40"/>
      <c r="K19" s="31"/>
      <c r="L19" s="31"/>
      <c r="M19" s="30"/>
      <c r="N19" s="30"/>
      <c r="O19" s="30"/>
    </row>
    <row r="20" spans="2:15" ht="39.75" customHeight="1" thickBot="1" x14ac:dyDescent="0.3">
      <c r="B20" s="29"/>
      <c r="C20" s="30"/>
      <c r="D20" s="30"/>
      <c r="E20" s="39"/>
      <c r="F20" s="39"/>
      <c r="G20" s="40"/>
      <c r="H20" s="40"/>
      <c r="I20" s="40"/>
      <c r="J20" s="40"/>
      <c r="K20" s="31"/>
      <c r="L20" s="31"/>
      <c r="M20" s="30"/>
      <c r="N20" s="30"/>
      <c r="O20" s="30"/>
    </row>
    <row r="21" spans="2:15" ht="19.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5">
      <c r="I22" s="3"/>
      <c r="J22" s="3"/>
      <c r="K22" s="6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25">
      <c r="I26" s="1"/>
      <c r="J26" s="1"/>
      <c r="K26" s="7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 t="s">
        <v>16</v>
      </c>
      <c r="L31" s="1" t="s">
        <v>17</v>
      </c>
      <c r="M31" s="4"/>
    </row>
    <row r="32" spans="2:15" ht="19.5" customHeight="1" x14ac:dyDescent="0.3">
      <c r="I32" s="1"/>
      <c r="J32" s="1"/>
      <c r="K32" s="2" t="s">
        <v>18</v>
      </c>
      <c r="L32" s="1" t="s">
        <v>19</v>
      </c>
      <c r="M32" s="4"/>
    </row>
    <row r="33" spans="9:13" ht="19.5" customHeight="1" x14ac:dyDescent="0.3">
      <c r="I33" s="1"/>
      <c r="J33" s="1"/>
      <c r="K33" s="2" t="s">
        <v>20</v>
      </c>
      <c r="L33" s="1" t="s">
        <v>21</v>
      </c>
      <c r="M33" s="4"/>
    </row>
    <row r="34" spans="9:13" ht="19.5" customHeight="1" x14ac:dyDescent="0.3">
      <c r="I34" s="1"/>
      <c r="J34" s="1"/>
      <c r="K34" s="2"/>
      <c r="L34" s="1" t="s">
        <v>22</v>
      </c>
      <c r="M34" s="4"/>
    </row>
    <row r="35" spans="9:13" ht="19.5" customHeight="1" x14ac:dyDescent="0.3">
      <c r="I35" s="1"/>
      <c r="J35" s="1"/>
      <c r="K35" s="2"/>
      <c r="L35" s="3"/>
    </row>
    <row r="36" spans="9:13" ht="15.7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25">
      <c r="I1001" s="3"/>
      <c r="J1001" s="3"/>
      <c r="K1001" s="6"/>
      <c r="L1001" s="3"/>
    </row>
    <row r="1002" spans="9:12" ht="15" customHeight="1" x14ac:dyDescent="0.25">
      <c r="I1002" s="3"/>
      <c r="J1002" s="3"/>
      <c r="K1002" s="6"/>
      <c r="L1002" s="3"/>
    </row>
  </sheetData>
  <mergeCells count="1">
    <mergeCell ref="B3:O3"/>
  </mergeCells>
  <phoneticPr fontId="26" type="noConversion"/>
  <dataValidations count="2">
    <dataValidation type="list" allowBlank="1" showErrorMessage="1" sqref="L13:L21" xr:uid="{00000000-0002-0000-0000-000000000000}">
      <formula1>$L$31:$L$34</formula1>
    </dataValidation>
    <dataValidation type="list" allowBlank="1" showErrorMessage="1" sqref="K13:K21" xr:uid="{00000000-0002-0000-0000-000001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6" zoomScale="115" zoomScaleNormal="115" workbookViewId="0">
      <selection activeCell="K28" sqref="K28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81" t="s">
        <v>23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62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1" t="s">
        <v>24</v>
      </c>
      <c r="F9" s="62"/>
      <c r="G9" s="11"/>
      <c r="H9" s="61" t="s">
        <v>11</v>
      </c>
      <c r="I9" s="62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83" t="str">
        <f>VLOOKUP(C10,'Formato descripción HU'!B6:O21,5,0)</f>
        <v>Administrador / Traductor</v>
      </c>
      <c r="F10" s="84"/>
      <c r="G10" s="15"/>
      <c r="H10" s="63" t="str">
        <f>VLOOKUP(C10,'Formato descripción HU'!B6:O21,11,0)</f>
        <v>No iniciado</v>
      </c>
      <c r="I10" s="62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61" t="s">
        <v>10</v>
      </c>
      <c r="F12" s="62"/>
      <c r="G12" s="15"/>
      <c r="H12" s="61" t="s">
        <v>26</v>
      </c>
      <c r="I12" s="62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HU'!B6:O21,8,0)</f>
        <v>8 hrs</v>
      </c>
      <c r="D13" s="14"/>
      <c r="E13" s="63" t="str">
        <f>VLOOKUP(C10,'Formato descripción HU'!B6:O21,10,0)</f>
        <v>Alta</v>
      </c>
      <c r="F13" s="62"/>
      <c r="G13" s="15"/>
      <c r="H13" s="63" t="str">
        <f>VLOOKUP(C10,'Formato descripción HU'!B6:O21,7,0)</f>
        <v>Jelen Lucio</v>
      </c>
      <c r="I13" s="62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64" t="s">
        <v>27</v>
      </c>
      <c r="D15" s="72" t="str">
        <f>VLOOKUP(C10,'Formato descripción HU'!B6:O21,3,0)</f>
        <v>El sistema debe permitir el inicio de sesión seguro con credenciales únicas y control de sesión activa.</v>
      </c>
      <c r="E15" s="66"/>
      <c r="F15" s="12"/>
      <c r="G15" s="64" t="s">
        <v>28</v>
      </c>
      <c r="H15" s="72" t="str">
        <f>VLOOKUP(C10,'Formato descripción HU'!B6:O21,4,0)</f>
        <v>Garantizar acceso seguro y redirigir al usuario según su rol (Admin, Universitario o Traductor).</v>
      </c>
      <c r="I15" s="93"/>
      <c r="J15" s="66"/>
      <c r="K15" s="12"/>
      <c r="L15" s="43" t="s">
        <v>29</v>
      </c>
      <c r="M15" s="46" t="str">
        <f>VLOOKUP(C10,'Formato descripción HU'!B6:O21,6,0)</f>
        <v>Diseñar login, programar validación de credenciales, control de roles/permisos, alertas de error en pantalla y persistencia de sesión.</v>
      </c>
      <c r="N15" s="47"/>
      <c r="O15" s="48"/>
      <c r="P15" s="27"/>
    </row>
    <row r="16" spans="2:16" ht="19.5" customHeight="1" x14ac:dyDescent="0.25">
      <c r="B16" s="26"/>
      <c r="C16" s="44"/>
      <c r="D16" s="70"/>
      <c r="E16" s="71"/>
      <c r="F16" s="12"/>
      <c r="G16" s="44"/>
      <c r="H16" s="70"/>
      <c r="I16" s="42"/>
      <c r="J16" s="71"/>
      <c r="K16" s="12"/>
      <c r="L16" s="44"/>
      <c r="M16" s="49"/>
      <c r="N16" s="50"/>
      <c r="O16" s="51"/>
      <c r="P16" s="27"/>
    </row>
    <row r="17" spans="2:16" ht="19.5" customHeight="1" x14ac:dyDescent="0.25">
      <c r="B17" s="26"/>
      <c r="C17" s="45"/>
      <c r="D17" s="67"/>
      <c r="E17" s="68"/>
      <c r="F17" s="12"/>
      <c r="G17" s="45"/>
      <c r="H17" s="67"/>
      <c r="I17" s="94"/>
      <c r="J17" s="68"/>
      <c r="K17" s="12"/>
      <c r="L17" s="45"/>
      <c r="M17" s="52"/>
      <c r="N17" s="53"/>
      <c r="O17" s="54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65" t="s">
        <v>30</v>
      </c>
      <c r="D19" s="66"/>
      <c r="E19" s="55" t="str">
        <f>VLOOKUP(C10,'Formato descripción HU'!B6:O20,14,0)</f>
        <v>Sistema de Autenticación y Acceso</v>
      </c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27"/>
    </row>
    <row r="20" spans="2:16" ht="19.5" customHeight="1" x14ac:dyDescent="0.25">
      <c r="B20" s="26"/>
      <c r="C20" s="67"/>
      <c r="D20" s="68"/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69" t="s">
        <v>31</v>
      </c>
      <c r="D22" s="66"/>
      <c r="E22" s="72" t="str">
        <f>VLOOKUP(C10,'Formato descripción HU'!B6:O21,12,0)</f>
        <v>Validar alertas con datos erróneos o vacíos. Ingresar con cuenta válida, verificar rol y navegar sin perder la sesión.</v>
      </c>
      <c r="F22" s="73"/>
      <c r="G22" s="73"/>
      <c r="H22" s="74"/>
      <c r="I22" s="12"/>
      <c r="J22" s="69" t="s">
        <v>13</v>
      </c>
      <c r="K22" s="66"/>
      <c r="L22" s="72" t="str">
        <f>VLOOKUP(C10,'Formato descripción HU'!B6:O21,13,0)</f>
        <v>Base fundamental del sistema. El administrador será quien cree las cuentas de los traductores</v>
      </c>
      <c r="M22" s="85"/>
      <c r="N22" s="85"/>
      <c r="O22" s="86"/>
      <c r="P22" s="27"/>
    </row>
    <row r="23" spans="2:16" ht="19.5" customHeight="1" x14ac:dyDescent="0.25">
      <c r="B23" s="26"/>
      <c r="C23" s="70"/>
      <c r="D23" s="71"/>
      <c r="E23" s="75"/>
      <c r="F23" s="76"/>
      <c r="G23" s="76"/>
      <c r="H23" s="77"/>
      <c r="I23" s="12"/>
      <c r="J23" s="70"/>
      <c r="K23" s="71"/>
      <c r="L23" s="87"/>
      <c r="M23" s="88"/>
      <c r="N23" s="88"/>
      <c r="O23" s="89"/>
      <c r="P23" s="27"/>
    </row>
    <row r="24" spans="2:16" ht="19.5" customHeight="1" x14ac:dyDescent="0.25">
      <c r="B24" s="26"/>
      <c r="C24" s="67"/>
      <c r="D24" s="68"/>
      <c r="E24" s="78"/>
      <c r="F24" s="79"/>
      <c r="G24" s="79"/>
      <c r="H24" s="80"/>
      <c r="I24" s="12"/>
      <c r="J24" s="67"/>
      <c r="K24" s="68"/>
      <c r="L24" s="90"/>
      <c r="M24" s="91"/>
      <c r="N24" s="91"/>
      <c r="O24" s="92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JELEN DAYANARA LUCIO VARGAS</cp:lastModifiedBy>
  <cp:revision/>
  <cp:lastPrinted>2026-05-13T16:36:19Z</cp:lastPrinted>
  <dcterms:created xsi:type="dcterms:W3CDTF">2019-10-21T15:37:14Z</dcterms:created>
  <dcterms:modified xsi:type="dcterms:W3CDTF">2026-06-10T16:33:15Z</dcterms:modified>
  <cp:category/>
  <cp:contentStatus/>
</cp:coreProperties>
</file>