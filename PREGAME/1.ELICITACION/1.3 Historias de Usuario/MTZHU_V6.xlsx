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38" documentId="8_{C909ADFF-CAD9-439C-A186-49BDC3CDE06D}" xr6:coauthVersionLast="47" xr6:coauthVersionMax="47" xr10:uidLastSave="{09D5B4FE-8751-49BB-A1C9-FA14AB108E6B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<sst xmlns="http://schemas.openxmlformats.org/spreadsheetml/2006/main" count="155" uniqueCount="112">
  <si>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</si>
  <si>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</si>
  <si>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</si>
  <si>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</si>
  <si>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</si>
  <si>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</si>
  <si>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</si>
  <si>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</si>
  <si>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</si>
  <si>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</si>
  <si>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</si>
  <si>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</si>
  <si>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</si>
  <si>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</si>
  <si>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</si>
  <si>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</si>
  <si>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</si>
  <si>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</si>
  <si>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</si>
  <si>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</si>
  <si>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</si>
  <si>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</si>
  <si>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</si>
  <si>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</si>
  <si>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</si>
  <si>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</si>
  <si>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</si>
  <si>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Administrador</t>
  </si>
  <si>
    <t>Sprint 1</t>
  </si>
  <si>
    <t>REQ003</t>
  </si>
  <si>
    <t>12 hrs</t>
  </si>
  <si>
    <t>10 hrs</t>
  </si>
  <si>
    <t xml:space="preserve">El sistema debe emitir notificaciones automáticas y alertas de riesgo de retraso. </t>
  </si>
  <si>
    <t>15 hrs</t>
  </si>
  <si>
    <t>REQ004</t>
  </si>
  <si>
    <t>REQ005</t>
  </si>
  <si>
    <t>REQ006</t>
  </si>
  <si>
    <t>REQ007</t>
  </si>
  <si>
    <t>No existe un sistema de autenticación para acceder a la plataforma.</t>
  </si>
  <si>
    <t>8 hrs</t>
  </si>
  <si>
    <t>Sistema de Autenticación y Acceso</t>
  </si>
  <si>
    <t>Bryan Cevallos</t>
  </si>
  <si>
    <t>Jaime Cabezas</t>
  </si>
  <si>
    <t>Sprint 2</t>
  </si>
  <si>
    <t>Jelen Lucio</t>
  </si>
  <si>
    <t>Reporte de Auditoría</t>
  </si>
  <si>
    <t>Asignación de Documentos Traductores</t>
  </si>
  <si>
    <t>Gestión de Tarifas</t>
  </si>
  <si>
    <t>Módulo de Alertas</t>
  </si>
  <si>
    <t>Administrador / Traductor</t>
  </si>
  <si>
    <t>Traductor</t>
  </si>
  <si>
    <t>Asegura una correcta administración de tarifas y legibilidad en la interfaz.</t>
  </si>
  <si>
    <t>Diseñar login, programar validación de credenciales, control de roles/permisos, alertas de error en pantalla y persistencia de sesión.</t>
  </si>
  <si>
    <t>Validar alertas con datos erróneos o vacíos. Ingresar con cuenta válida, verificar rol y navegar sin perder la sesión.</t>
  </si>
  <si>
    <t>Recibir archivos ordenadamente, asegurando formatos compatibles y mostrando el progreso.</t>
  </si>
  <si>
    <t>Administradores no pueden ver ni controlar las acciones de los usuarios.</t>
  </si>
  <si>
    <t>Proveer un historial limpio para realizar auditorías rápidas sobre las operaciones del sistema.</t>
  </si>
  <si>
    <t>Habilitar sección de bitácora, programar captura de ingresos y cargas con fecha/hora exacta, y estructurar vista limpia de historial.</t>
  </si>
  <si>
    <t>Hacer login o subir archivos con cuenta de prueba y verificar su registro inmediato en el panel de auditoría con fecha y hora.</t>
  </si>
  <si>
    <t>Asegura el control y trazabilidad de los movimientos de la plataforma.</t>
  </si>
  <si>
    <t>Traductores ven documentos ajenos, causando desorden y falta de privacidad.</t>
  </si>
  <si>
    <t>Lograr que cada traductor gestione solo lo suyo y visualice cambios de estado al instante.</t>
  </si>
  <si>
    <t>Construir Dashboard en tabla con documentos y estados, crear filtro en base de datos por usuario y programar actualización dinámica.</t>
  </si>
  <si>
    <t>Ingresar con distintas cuentas de traductores y comprobar que la tabla liste solo sus archivos y se actualice al cambiar estados.</t>
  </si>
  <si>
    <t>Optimiza el flujo operativo del traductor y resguarda la privacidad.</t>
  </si>
  <si>
    <t>Aplicar precios al instante asegurando visibilidad correcta en cualquier tema gráfico.</t>
  </si>
  <si>
    <t>Notificar sucesos críticos en el segundo exacto en que ocurren sin recargar la página.</t>
  </si>
  <si>
    <t>No se dispone de un medio digital centralizado y controlado para subir archivos de traducción.</t>
  </si>
  <si>
    <t>Gestión de Documentos</t>
  </si>
  <si>
    <t>Base fundamental del sistema. El administrador será quien cree las cuentas de los traductores</t>
  </si>
  <si>
    <t>El sistema debe permitir el inicio de sesión seguro con credenciales únicas y control de sesión activa.</t>
  </si>
  <si>
    <t>El sistema debe permitir listar los archivos asignados a cada cuenta mediante un Dashboard interactivo.</t>
  </si>
  <si>
    <t>El sistema de permitir la carga directa de documentos restringiendo las extensiones permitidas.</t>
  </si>
  <si>
    <t>El sistema debe permitir grabar automáticamente en segundo plano las acciones clave de los usuarios.</t>
  </si>
  <si>
    <t>Garantizar acceso seguro y redirigir al usuario según su rol (Admin, Traductor).</t>
  </si>
  <si>
    <t>No hay visibilidad global del estado del proyecto ni del rendimiento financiero.</t>
  </si>
  <si>
    <t>Facilitar la toma de decisiones y el monitoreo simultáneo de documentos y ganancias acumuladas.</t>
  </si>
  <si>
    <t>Sprint 3</t>
  </si>
  <si>
    <t>En curso</t>
  </si>
  <si>
    <t>Verificar que la gráfica coincida con los documentos reales. Validar que el Traductor no pueda visualizar la tarjeta de ganancias.</t>
  </si>
  <si>
    <t>Dashboard Analítico y Estadísticas</t>
  </si>
  <si>
    <t>REQ008</t>
  </si>
  <si>
    <t>El sistema debe permitir el envío de mensajes en tiempo real vinculados al detalle de cada documento.</t>
  </si>
  <si>
    <t>Agilizar la resolución de dudas específicas sin depender de correos y centralizar el historial del trabajo.</t>
  </si>
  <si>
    <t>16 hrs</t>
  </si>
  <si>
    <t>Enviar un mensaje y verificar que llegue al receptor al instante sin recargar. Probar el bloqueo de envío de inputs vacíos.</t>
  </si>
  <si>
    <t>Requiere manejo de reconexiones automáticas si el socket se desconecta de Render.</t>
  </si>
  <si>
    <t>Chat en Tiempo Real por Documento</t>
  </si>
  <si>
    <t>REQ009</t>
  </si>
  <si>
    <t>Garantizar la integridad, rápida consulta y disponibilidad ininterrumpida de la información para las interfaces.</t>
  </si>
  <si>
    <t>Capa fundamental que sostiene toda la arquitectura y servicios de United Republic.</t>
  </si>
  <si>
    <t>Implementación en Base de Datos</t>
  </si>
  <si>
    <t>Implementar un formulario que permita la creacion de nuevo documentos a ser traducidos, y implentar un panel en  el cual los traductores puedan ver esos documentos a traducir</t>
  </si>
  <si>
    <t>Intentar subir extensión inválida, confirmar bloqueo y solo que se permita  Word/PDF. Ademas verificar si la fecha ingresada tiene coherencia.</t>
  </si>
  <si>
    <t>El administrador debe ser el único con permisos para crear documentos.</t>
  </si>
  <si>
    <t>Administrador olvida cuanto cuesta la traducción de cada documento, y lleva esta contabilidad a mano</t>
  </si>
  <si>
    <t>El sistema debe permitir proveer una ventana interactiva y adaptativa para actualizar tarifas en USD.</t>
  </si>
  <si>
    <t>Desarrollar ventana emergente, validar entrada y programar guardado inmediato.</t>
  </si>
  <si>
    <t>Abrir ventana emergente, intentar digitar letras (bloqueo) y guardar monto validando.</t>
  </si>
  <si>
    <t>Usuarios se enteran tarde de los cambios debido a que suelen olvidar la fecha de entrega establecida.</t>
  </si>
  <si>
    <t>Desarrollar una ventana emergente que muestre nuevas notificaciones, relacionada a entrega del trabajo o si tiene un mensaje nuevo.</t>
  </si>
  <si>
    <t>Desencadenar un evento desde otra cuenta y verificar la aparición visual de la notificación en pantalla al instante.</t>
  </si>
  <si>
    <t>Las notificaciones deben ser privadas para cada usuario independientemente.</t>
  </si>
  <si>
    <t>El sistema debe mostrar un panel estadístico con gráficas y métricas clave.</t>
  </si>
  <si>
    <t>Diseñar interfaz que permita la visualización de gráfico que represente el estado de los documentos y filtrar campo de costo.</t>
  </si>
  <si>
    <t>Los traductores solo ven sus métricas básicas.</t>
  </si>
  <si>
    <t>La comunicación está desconectada del contexto del archivo al querer comunicar algo especifico de cierto documento al administrador o veceversa</t>
  </si>
  <si>
    <t>Creando una ventana emergente en la cual en tiempo real se puede chatear entre el administrador y el traductor, especificamente en cada documento diferente.</t>
  </si>
  <si>
    <t>La pagina solo es operable en una sola computadora, cuando lo que se necesite es que cualquier traductor pueda ingresar en el momento que vea oportuno.</t>
  </si>
  <si>
    <t>El sistema debe persistir operaciones estructuradas en colecciones de manera eficiente.</t>
  </si>
  <si>
    <t>Diseñar esquema en MongoDB, programar persistencia para usuarios, documentos, configuración y logs.</t>
  </si>
  <si>
    <r>
      <t>Insertar/recuperar documentos validando conversión</t>
    </r>
    <r>
      <rPr>
        <sz val="11"/>
        <color theme="1"/>
        <rFont val="Arial"/>
        <family val="2"/>
        <scheme val="minor"/>
      </rPr>
      <t>. Validar manejo de errores de conexión.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</si>
</sst>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6"/>
  </cellStyleXfs>
  <cellXfs count="97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vertical="center"/>
    </xf>
    <xf numFmtId="0" fontId="7" fillId="3" borderId="6" xfId="0" applyFont="1" applyFill="1" applyBorder="1"/>
    <xf numFmtId="0" fontId="17" fillId="5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21" xfId="0" applyFont="1" applyFill="1" applyBorder="1"/>
    <xf numFmtId="0" fontId="7" fillId="3" borderId="22" xfId="0" applyFont="1" applyFill="1" applyBorder="1"/>
    <xf numFmtId="0" fontId="7" fillId="3" borderId="23" xfId="0" applyFont="1" applyFill="1" applyBorder="1"/>
    <xf numFmtId="0" fontId="7" fillId="3" borderId="8" xfId="0" applyFont="1" applyFill="1" applyBorder="1"/>
    <xf numFmtId="0" fontId="12" fillId="3" borderId="10" xfId="0" applyFont="1" applyFill="1" applyBorder="1" applyAlignment="1">
      <alignment horizontal="left" vertical="center" wrapText="1"/>
    </xf>
    <xf numFmtId="0" fontId="6" fillId="3" borderId="10" xfId="0" applyFont="1" applyFill="1" applyBorder="1"/>
    <xf numFmtId="0" fontId="7" fillId="3" borderId="10" xfId="0" applyFont="1" applyFill="1" applyBorder="1"/>
    <xf numFmtId="0" fontId="7" fillId="3" borderId="9" xfId="0" applyFont="1" applyFill="1" applyBorder="1"/>
    <xf numFmtId="0" fontId="7" fillId="3" borderId="12" xfId="0" applyFont="1" applyFill="1" applyBorder="1"/>
    <xf numFmtId="0" fontId="7" fillId="3" borderId="13" xfId="0" applyFont="1" applyFill="1" applyBorder="1"/>
    <xf numFmtId="0" fontId="0" fillId="0" borderId="6" xfId="0" applyBorder="1"/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 readingOrder="1"/>
    </xf>
    <xf numFmtId="0" fontId="25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 readingOrder="1"/>
    </xf>
    <xf numFmtId="0" fontId="26" fillId="0" borderId="26" xfId="0" applyFont="1" applyBorder="1" applyAlignment="1">
      <alignment horizontal="center" vertical="center" wrapText="1" readingOrder="1"/>
    </xf>
    <xf numFmtId="0" fontId="3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23" fillId="6" borderId="7" xfId="0" applyFont="1" applyFill="1" applyBorder="1" applyAlignment="1">
      <alignment horizontal="center" vertical="center"/>
    </xf>
    <xf numFmtId="0" fontId="14" fillId="0" borderId="11" xfId="0" applyFont="1" applyBorder="1"/>
    <xf numFmtId="0" fontId="14" fillId="0" borderId="14" xfId="0" applyFont="1" applyBorder="1"/>
    <xf numFmtId="0" fontId="18" fillId="5" borderId="8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19" fillId="0" borderId="0" xfId="0" applyFont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0" fillId="2" borderId="15" xfId="0" applyFont="1" applyFill="1" applyBorder="1" applyAlignment="1">
      <alignment horizontal="center" vertical="center"/>
    </xf>
    <xf numFmtId="0" fontId="14" fillId="0" borderId="16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19" xfId="0" applyFont="1" applyBorder="1"/>
    <xf numFmtId="0" fontId="14" fillId="0" borderId="20" xfId="0" applyFont="1" applyBorder="1"/>
    <xf numFmtId="0" fontId="15" fillId="4" borderId="3" xfId="0" applyFont="1" applyFill="1" applyBorder="1" applyAlignment="1">
      <alignment horizontal="center" vertical="center"/>
    </xf>
    <xf numFmtId="0" fontId="14" fillId="0" borderId="5" xfId="0" applyFont="1" applyBorder="1"/>
    <xf numFmtId="0" fontId="6" fillId="5" borderId="3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14" fillId="0" borderId="9" xfId="0" applyFont="1" applyBorder="1"/>
    <xf numFmtId="0" fontId="14" fillId="0" borderId="21" xfId="0" applyFont="1" applyBorder="1"/>
    <xf numFmtId="0" fontId="14" fillId="0" borderId="23" xfId="0" applyFont="1" applyBorder="1"/>
    <xf numFmtId="0" fontId="15" fillId="4" borderId="8" xfId="0" applyFont="1" applyFill="1" applyBorder="1" applyAlignment="1">
      <alignment horizontal="center" vertical="center"/>
    </xf>
    <xf numFmtId="0" fontId="14" fillId="0" borderId="12" xfId="0" applyFont="1" applyBorder="1"/>
    <xf numFmtId="0" fontId="14" fillId="0" borderId="13" xfId="0" applyFont="1" applyBorder="1"/>
    <xf numFmtId="0" fontId="6" fillId="5" borderId="8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13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3" fillId="3" borderId="3" xfId="0" applyFont="1" applyFill="1" applyBorder="1" applyAlignment="1">
      <alignment horizontal="center" vertical="center" wrapText="1"/>
    </xf>
    <xf numFmtId="0" fontId="14" fillId="0" borderId="4" xfId="0" applyFont="1" applyBorder="1"/>
    <xf numFmtId="0" fontId="6" fillId="5" borderId="3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14" fillId="0" borderId="10" xfId="0" applyFont="1" applyBorder="1"/>
    <xf numFmtId="0" fontId="14" fillId="0" borderId="22" xfId="0" applyFont="1" applyBorder="1"/>
    <xf numFmtId="0" fontId="1" fillId="0" borderId="27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8E8BFFC-F889-41F6-9422-1DD374196061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986"/>
  <sheetViews>
    <sheetView showGridLines="0" tabSelected="1" topLeftCell="E9" zoomScale="85" zoomScaleNormal="85" workbookViewId="0">
      <selection activeCell="O14" sqref="O14"/>
    </sheetView>
  </sheetViews>
  <sheetFormatPr baseColWidth="10" defaultColWidth="12.625" defaultRowHeight="15" customHeight="1" x14ac:dyDescent="0.2"/>
  <cols>
    <col min="1" max="1" width="2" customWidth="1"/>
    <col min="2" max="2" width="8" bestFit="1" customWidth="1"/>
    <col min="3" max="3" width="24.25" customWidth="1"/>
    <col min="4" max="4" width="23.75" customWidth="1"/>
    <col min="5" max="5" width="29.25" customWidth="1"/>
    <col min="6" max="6" width="15" customWidth="1"/>
    <col min="7" max="7" width="38" customWidth="1"/>
    <col min="8" max="8" width="10.625" customWidth="1"/>
    <col min="9" max="9" width="16.5" customWidth="1"/>
    <col min="10" max="12" width="10.625" customWidth="1"/>
    <col min="13" max="13" width="28.5" customWidth="1"/>
    <col min="14" max="14" width="27.125" customWidth="1"/>
    <col min="15" max="15" width="20.625" customWidth="1"/>
    <col min="16" max="26" width="9.25" customWidth="1"/>
  </cols>
  <sheetData>
    <row r="1" spans="2:16" x14ac:dyDescent="0.25">
      <c r="I1" s="1"/>
      <c r="J1" s="1"/>
      <c r="K1" s="2"/>
      <c r="L1" s="3"/>
    </row>
    <row r="2" spans="2:16" x14ac:dyDescent="0.25">
      <c r="I2" s="1"/>
      <c r="J2" s="1"/>
      <c r="K2" s="2"/>
      <c r="L2" s="3"/>
    </row>
    <row r="3" spans="2:16" ht="45" customHeight="1" x14ac:dyDescent="0.2">
      <c r="B3" s="42" t="s">
        <v>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2:16" x14ac:dyDescent="0.25">
      <c r="H4" s="4"/>
      <c r="I4" s="1"/>
      <c r="J4" s="1"/>
      <c r="K4" s="2"/>
      <c r="L4" s="3"/>
    </row>
    <row r="5" spans="2:16" ht="50.25" customHeight="1" thickBot="1" x14ac:dyDescent="0.25">
      <c r="B5" s="5" t="s">
        <v>1</v>
      </c>
      <c r="C5" s="5" t="s">
        <v>2</v>
      </c>
      <c r="D5" s="33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121.9" customHeight="1" thickBot="1" x14ac:dyDescent="0.25">
      <c r="B6" s="34" t="s">
        <v>15</v>
      </c>
      <c r="C6" s="35" t="s">
        <v>38</v>
      </c>
      <c r="D6" s="39" t="s">
        <v>70</v>
      </c>
      <c r="E6" s="39" t="s">
        <v>74</v>
      </c>
      <c r="F6" s="39" t="s">
        <v>49</v>
      </c>
      <c r="G6" s="39" t="s">
        <v>52</v>
      </c>
      <c r="H6" s="39" t="s">
        <v>44</v>
      </c>
      <c r="I6" s="39" t="s">
        <v>39</v>
      </c>
      <c r="J6" s="39" t="s">
        <v>28</v>
      </c>
      <c r="K6" s="39" t="s">
        <v>16</v>
      </c>
      <c r="L6" s="39" t="s">
        <v>78</v>
      </c>
      <c r="M6" s="39" t="s">
        <v>53</v>
      </c>
      <c r="N6" s="39" t="s">
        <v>69</v>
      </c>
      <c r="O6" s="39" t="s">
        <v>40</v>
      </c>
    </row>
    <row r="7" spans="2:16" ht="87.6" customHeight="1" thickBot="1" x14ac:dyDescent="0.25">
      <c r="B7" s="34" t="s">
        <v>26</v>
      </c>
      <c r="C7" s="39" t="s">
        <v>67</v>
      </c>
      <c r="D7" s="39" t="s">
        <v>72</v>
      </c>
      <c r="E7" s="39" t="s">
        <v>54</v>
      </c>
      <c r="F7" s="39" t="s">
        <v>49</v>
      </c>
      <c r="G7" s="39" t="s">
        <v>92</v>
      </c>
      <c r="H7" s="39" t="s">
        <v>41</v>
      </c>
      <c r="I7" s="39" t="s">
        <v>31</v>
      </c>
      <c r="J7" s="39" t="s">
        <v>28</v>
      </c>
      <c r="K7" s="39" t="s">
        <v>16</v>
      </c>
      <c r="L7" s="39" t="s">
        <v>78</v>
      </c>
      <c r="M7" s="39" t="s">
        <v>93</v>
      </c>
      <c r="N7" s="39" t="s">
        <v>94</v>
      </c>
      <c r="O7" s="39" t="s">
        <v>68</v>
      </c>
    </row>
    <row r="8" spans="2:16" ht="99" customHeight="1" thickBot="1" x14ac:dyDescent="0.25">
      <c r="B8" s="34" t="s">
        <v>29</v>
      </c>
      <c r="C8" s="39" t="s">
        <v>55</v>
      </c>
      <c r="D8" s="39" t="s">
        <v>73</v>
      </c>
      <c r="E8" s="39" t="s">
        <v>56</v>
      </c>
      <c r="F8" s="39" t="s">
        <v>27</v>
      </c>
      <c r="G8" s="39" t="s">
        <v>57</v>
      </c>
      <c r="H8" s="39" t="s">
        <v>42</v>
      </c>
      <c r="I8" s="39" t="s">
        <v>30</v>
      </c>
      <c r="J8" s="39" t="s">
        <v>28</v>
      </c>
      <c r="K8" s="39" t="s">
        <v>16</v>
      </c>
      <c r="L8" s="39" t="s">
        <v>78</v>
      </c>
      <c r="M8" s="39" t="s">
        <v>58</v>
      </c>
      <c r="N8" s="39" t="s">
        <v>59</v>
      </c>
      <c r="O8" s="39" t="s">
        <v>45</v>
      </c>
      <c r="P8" s="28"/>
    </row>
    <row r="9" spans="2:16" ht="96" customHeight="1" thickBot="1" x14ac:dyDescent="0.25">
      <c r="B9" s="34" t="s">
        <v>34</v>
      </c>
      <c r="C9" s="39" t="s">
        <v>60</v>
      </c>
      <c r="D9" s="39" t="s">
        <v>71</v>
      </c>
      <c r="E9" s="39" t="s">
        <v>61</v>
      </c>
      <c r="F9" s="39" t="s">
        <v>50</v>
      </c>
      <c r="G9" s="39" t="s">
        <v>62</v>
      </c>
      <c r="H9" s="39" t="s">
        <v>44</v>
      </c>
      <c r="I9" s="39" t="s">
        <v>31</v>
      </c>
      <c r="J9" s="39" t="s">
        <v>43</v>
      </c>
      <c r="K9" s="39" t="s">
        <v>16</v>
      </c>
      <c r="L9" s="39" t="s">
        <v>78</v>
      </c>
      <c r="M9" s="39" t="s">
        <v>63</v>
      </c>
      <c r="N9" s="39" t="s">
        <v>64</v>
      </c>
      <c r="O9" s="39" t="s">
        <v>46</v>
      </c>
      <c r="P9" s="28"/>
    </row>
    <row r="10" spans="2:16" ht="98.45" customHeight="1" thickBot="1" x14ac:dyDescent="0.25">
      <c r="B10" s="34" t="s">
        <v>35</v>
      </c>
      <c r="C10" s="39" t="s">
        <v>95</v>
      </c>
      <c r="D10" s="39" t="s">
        <v>96</v>
      </c>
      <c r="E10" s="39" t="s">
        <v>65</v>
      </c>
      <c r="F10" s="39" t="s">
        <v>27</v>
      </c>
      <c r="G10" s="39" t="s">
        <v>97</v>
      </c>
      <c r="H10" s="39" t="s">
        <v>41</v>
      </c>
      <c r="I10" s="39" t="s">
        <v>33</v>
      </c>
      <c r="J10" s="39" t="s">
        <v>43</v>
      </c>
      <c r="K10" s="39" t="s">
        <v>16</v>
      </c>
      <c r="L10" s="39" t="s">
        <v>78</v>
      </c>
      <c r="M10" s="39" t="s">
        <v>98</v>
      </c>
      <c r="N10" s="39" t="s">
        <v>51</v>
      </c>
      <c r="O10" s="39" t="s">
        <v>47</v>
      </c>
    </row>
    <row r="11" spans="2:16" ht="114" customHeight="1" thickBot="1" x14ac:dyDescent="0.25">
      <c r="B11" s="34" t="s">
        <v>36</v>
      </c>
      <c r="C11" s="39" t="s">
        <v>99</v>
      </c>
      <c r="D11" s="39" t="s">
        <v>32</v>
      </c>
      <c r="E11" s="39" t="s">
        <v>66</v>
      </c>
      <c r="F11" s="39" t="s">
        <v>49</v>
      </c>
      <c r="G11" s="39" t="s">
        <v>100</v>
      </c>
      <c r="H11" s="39" t="s">
        <v>42</v>
      </c>
      <c r="I11" s="39" t="s">
        <v>39</v>
      </c>
      <c r="J11" s="39" t="s">
        <v>43</v>
      </c>
      <c r="K11" s="39" t="s">
        <v>16</v>
      </c>
      <c r="L11" s="39" t="s">
        <v>78</v>
      </c>
      <c r="M11" s="39" t="s">
        <v>101</v>
      </c>
      <c r="N11" s="39" t="s">
        <v>102</v>
      </c>
      <c r="O11" s="39" t="s">
        <v>48</v>
      </c>
    </row>
    <row r="12" spans="2:16" ht="107.25" customHeight="1" thickBot="1" x14ac:dyDescent="0.25">
      <c r="B12" s="36" t="s">
        <v>37</v>
      </c>
      <c r="C12" s="37" t="s">
        <v>75</v>
      </c>
      <c r="D12" s="41" t="s">
        <v>103</v>
      </c>
      <c r="E12" s="37" t="s">
        <v>76</v>
      </c>
      <c r="F12" s="37" t="s">
        <v>27</v>
      </c>
      <c r="G12" s="41" t="s">
        <v>104</v>
      </c>
      <c r="H12" s="38" t="s">
        <v>41</v>
      </c>
      <c r="I12" s="37" t="s">
        <v>31</v>
      </c>
      <c r="J12" s="37" t="s">
        <v>77</v>
      </c>
      <c r="K12" s="39" t="s">
        <v>16</v>
      </c>
      <c r="L12" s="39" t="s">
        <v>78</v>
      </c>
      <c r="M12" s="37" t="s">
        <v>79</v>
      </c>
      <c r="N12" s="41" t="s">
        <v>105</v>
      </c>
      <c r="O12" s="96" t="s">
        <v>80</v>
      </c>
    </row>
    <row r="13" spans="2:16" ht="117.75" customHeight="1" thickBot="1" x14ac:dyDescent="0.25">
      <c r="B13" s="36" t="s">
        <v>81</v>
      </c>
      <c r="C13" s="41" t="s">
        <v>106</v>
      </c>
      <c r="D13" s="37" t="s">
        <v>82</v>
      </c>
      <c r="E13" s="37" t="s">
        <v>83</v>
      </c>
      <c r="F13" s="37" t="s">
        <v>49</v>
      </c>
      <c r="G13" s="41" t="s">
        <v>107</v>
      </c>
      <c r="H13" s="37" t="s">
        <v>44</v>
      </c>
      <c r="I13" s="37" t="s">
        <v>84</v>
      </c>
      <c r="J13" s="37" t="s">
        <v>77</v>
      </c>
      <c r="K13" s="37" t="s">
        <v>16</v>
      </c>
      <c r="L13" s="39" t="s">
        <v>78</v>
      </c>
      <c r="M13" s="41" t="s">
        <v>85</v>
      </c>
      <c r="N13" s="37" t="s">
        <v>86</v>
      </c>
      <c r="O13" s="96" t="s">
        <v>87</v>
      </c>
    </row>
    <row r="14" spans="2:16" ht="108.75" customHeight="1" thickBot="1" x14ac:dyDescent="0.25">
      <c r="B14" s="36" t="s">
        <v>88</v>
      </c>
      <c r="C14" s="41" t="s">
        <v>108</v>
      </c>
      <c r="D14" s="41" t="s">
        <v>109</v>
      </c>
      <c r="E14" s="37" t="s">
        <v>89</v>
      </c>
      <c r="F14" s="37" t="s">
        <v>49</v>
      </c>
      <c r="G14" s="41" t="s">
        <v>110</v>
      </c>
      <c r="H14" s="38" t="s">
        <v>42</v>
      </c>
      <c r="I14" s="37" t="s">
        <v>30</v>
      </c>
      <c r="J14" s="40" t="s">
        <v>77</v>
      </c>
      <c r="K14" s="37" t="s">
        <v>16</v>
      </c>
      <c r="L14" s="39" t="s">
        <v>78</v>
      </c>
      <c r="M14" s="41" t="s">
        <v>111</v>
      </c>
      <c r="N14" s="37" t="s">
        <v>90</v>
      </c>
      <c r="O14" s="96" t="s">
        <v>91</v>
      </c>
    </row>
    <row r="15" spans="2:16" ht="19.5" customHeight="1" x14ac:dyDescent="0.2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19.5" customHeight="1" x14ac:dyDescent="0.2">
      <c r="I16" s="3"/>
      <c r="J16" s="3"/>
      <c r="K16" s="6"/>
      <c r="L16" s="3"/>
    </row>
    <row r="17" spans="9:12" ht="19.5" customHeight="1" x14ac:dyDescent="0.25">
      <c r="I17" s="1"/>
      <c r="J17" s="1"/>
      <c r="K17" s="2"/>
      <c r="L17" s="3"/>
    </row>
    <row r="18" spans="9:12" ht="19.5" customHeight="1" x14ac:dyDescent="0.25">
      <c r="I18" s="1"/>
      <c r="J18" s="1"/>
      <c r="K18" s="2"/>
      <c r="L18" s="3"/>
    </row>
    <row r="19" spans="9:12" ht="19.5" customHeight="1" x14ac:dyDescent="0.25">
      <c r="I19" s="1"/>
      <c r="J19" s="1"/>
      <c r="K19" s="2"/>
      <c r="L19" s="3"/>
    </row>
    <row r="20" spans="9:12" ht="19.5" customHeight="1" x14ac:dyDescent="0.2">
      <c r="I20" s="1"/>
      <c r="J20" s="1"/>
      <c r="K20" s="7"/>
      <c r="L20" s="3"/>
    </row>
    <row r="21" spans="9:12" ht="19.5" customHeight="1" x14ac:dyDescent="0.2">
      <c r="I21" s="1"/>
      <c r="J21" s="1"/>
      <c r="K21" s="7"/>
      <c r="L21" s="3"/>
    </row>
    <row r="22" spans="9:12" ht="19.5" customHeight="1" x14ac:dyDescent="0.25">
      <c r="I22" s="1"/>
      <c r="J22" s="1"/>
      <c r="K22" s="2"/>
      <c r="L22" s="3"/>
    </row>
    <row r="23" spans="9:12" ht="15.75" customHeight="1" x14ac:dyDescent="0.25">
      <c r="I23" s="1"/>
      <c r="J23" s="1"/>
      <c r="K23" s="2"/>
      <c r="L23" s="3"/>
    </row>
    <row r="24" spans="9:12" ht="15.75" customHeight="1" x14ac:dyDescent="0.25">
      <c r="I24" s="1"/>
      <c r="J24" s="1"/>
      <c r="K24" s="2"/>
      <c r="L24" s="3"/>
    </row>
    <row r="25" spans="9:12" ht="15.75" customHeight="1" x14ac:dyDescent="0.25">
      <c r="I25" s="1"/>
      <c r="J25" s="1"/>
      <c r="K25" s="2"/>
      <c r="L25" s="3"/>
    </row>
    <row r="26" spans="9:12" ht="15.75" customHeight="1" x14ac:dyDescent="0.25">
      <c r="I26" s="1"/>
      <c r="J26" s="1"/>
      <c r="K26" s="2"/>
      <c r="L26" s="3"/>
    </row>
    <row r="27" spans="9:12" ht="15.75" customHeight="1" x14ac:dyDescent="0.25">
      <c r="I27" s="1"/>
      <c r="J27" s="1"/>
      <c r="K27" s="2"/>
      <c r="L27" s="3"/>
    </row>
    <row r="28" spans="9:12" ht="15.75" customHeight="1" x14ac:dyDescent="0.25">
      <c r="I28" s="1"/>
      <c r="J28" s="1"/>
      <c r="K28" s="2"/>
      <c r="L28" s="3"/>
    </row>
    <row r="29" spans="9:12" ht="15.75" customHeight="1" x14ac:dyDescent="0.25">
      <c r="I29" s="1"/>
      <c r="J29" s="1"/>
      <c r="K29" s="2"/>
      <c r="L29" s="3"/>
    </row>
    <row r="30" spans="9:12" ht="15.75" customHeight="1" x14ac:dyDescent="0.25">
      <c r="I30" s="1"/>
      <c r="J30" s="1"/>
      <c r="K30" s="2"/>
      <c r="L30" s="3"/>
    </row>
    <row r="31" spans="9:12" ht="15.75" customHeight="1" x14ac:dyDescent="0.25">
      <c r="I31" s="1"/>
      <c r="J31" s="1"/>
      <c r="K31" s="2"/>
      <c r="L31" s="3"/>
    </row>
    <row r="32" spans="9:12" ht="15.7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">
      <c r="I985" s="3"/>
      <c r="J985" s="3"/>
      <c r="K985" s="6"/>
      <c r="L985" s="3"/>
    </row>
    <row r="986" spans="9:12" ht="15" customHeight="1" x14ac:dyDescent="0.2">
      <c r="I986" s="3"/>
      <c r="J986" s="3"/>
      <c r="K986" s="6"/>
      <c r="L986" s="3"/>
    </row>
  </sheetData>
  <mergeCells count="1">
    <mergeCell ref="B3:O3"/>
  </mergeCells>
  <phoneticPr fontId="27" type="noConversion"/>
  <dataValidations count="1">
    <dataValidation type="list" allowBlank="1" showErrorMessage="1" sqref="K15:L15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115" zoomScaleNormal="115" workbookViewId="0">
      <selection activeCell="K28" sqref="K28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82" t="s">
        <v>17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63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62" t="s">
        <v>18</v>
      </c>
      <c r="F9" s="63"/>
      <c r="G9" s="11"/>
      <c r="H9" s="62" t="s">
        <v>11</v>
      </c>
      <c r="I9" s="63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15</v>
      </c>
      <c r="D10" s="14"/>
      <c r="E10" s="84" t="str">
        <f>VLOOKUP(C10,'Formato descripción HU'!B6:O15,5,0)</f>
        <v>Administrador / Traductor</v>
      </c>
      <c r="F10" s="85"/>
      <c r="G10" s="15"/>
      <c r="H10" s="64" t="str">
        <f>VLOOKUP(C10,'Formato descripción HU'!B6:O15,11,0)</f>
        <v>En curso</v>
      </c>
      <c r="I10" s="63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19</v>
      </c>
      <c r="D12" s="14"/>
      <c r="E12" s="62" t="s">
        <v>10</v>
      </c>
      <c r="F12" s="63"/>
      <c r="G12" s="15"/>
      <c r="H12" s="62" t="s">
        <v>20</v>
      </c>
      <c r="I12" s="63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 t="str">
        <f>VLOOKUP('Historia de Usuario'!C10,'Formato descripción HU'!B6:O15,8,0)</f>
        <v>8 hrs</v>
      </c>
      <c r="D13" s="14"/>
      <c r="E13" s="64" t="str">
        <f>VLOOKUP(C10,'Formato descripción HU'!B6:O15,10,0)</f>
        <v>Alta</v>
      </c>
      <c r="F13" s="63"/>
      <c r="G13" s="15"/>
      <c r="H13" s="64" t="str">
        <f>VLOOKUP(C10,'Formato descripción HU'!B6:O15,7,0)</f>
        <v>Jelen Lucio</v>
      </c>
      <c r="I13" s="63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65" t="s">
        <v>21</v>
      </c>
      <c r="D15" s="73" t="str">
        <f>VLOOKUP(C10,'Formato descripción HU'!B6:O15,3,0)</f>
        <v>El sistema debe permitir el inicio de sesión seguro con credenciales únicas y control de sesión activa.</v>
      </c>
      <c r="E15" s="67"/>
      <c r="F15" s="12"/>
      <c r="G15" s="65" t="s">
        <v>22</v>
      </c>
      <c r="H15" s="73" t="str">
        <f>VLOOKUP(C10,'Formato descripción HU'!B6:O15,4,0)</f>
        <v>Garantizar acceso seguro y redirigir al usuario según su rol (Admin, Traductor).</v>
      </c>
      <c r="I15" s="94"/>
      <c r="J15" s="67"/>
      <c r="K15" s="12"/>
      <c r="L15" s="44" t="s">
        <v>23</v>
      </c>
      <c r="M15" s="47" t="str">
        <f>VLOOKUP(C10,'Formato descripción HU'!B6:O15,6,0)</f>
        <v>Diseñar login, programar validación de credenciales, control de roles/permisos, alertas de error en pantalla y persistencia de sesión.</v>
      </c>
      <c r="N15" s="48"/>
      <c r="O15" s="49"/>
      <c r="P15" s="27"/>
    </row>
    <row r="16" spans="2:16" ht="19.5" customHeight="1" x14ac:dyDescent="0.2">
      <c r="B16" s="26"/>
      <c r="C16" s="45"/>
      <c r="D16" s="71"/>
      <c r="E16" s="72"/>
      <c r="F16" s="12"/>
      <c r="G16" s="45"/>
      <c r="H16" s="71"/>
      <c r="I16" s="43"/>
      <c r="J16" s="72"/>
      <c r="K16" s="12"/>
      <c r="L16" s="45"/>
      <c r="M16" s="50"/>
      <c r="N16" s="51"/>
      <c r="O16" s="52"/>
      <c r="P16" s="27"/>
    </row>
    <row r="17" spans="2:16" ht="19.5" customHeight="1" x14ac:dyDescent="0.2">
      <c r="B17" s="26"/>
      <c r="C17" s="46"/>
      <c r="D17" s="68"/>
      <c r="E17" s="69"/>
      <c r="F17" s="12"/>
      <c r="G17" s="46"/>
      <c r="H17" s="68"/>
      <c r="I17" s="95"/>
      <c r="J17" s="69"/>
      <c r="K17" s="12"/>
      <c r="L17" s="46"/>
      <c r="M17" s="53"/>
      <c r="N17" s="54"/>
      <c r="O17" s="55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66" t="s">
        <v>24</v>
      </c>
      <c r="D19" s="67"/>
      <c r="E19" s="56" t="str">
        <f>VLOOKUP(C10,'Formato descripción HU'!B6:O14,14,0)</f>
        <v>Sistema de Autenticación y Acceso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27"/>
    </row>
    <row r="20" spans="2:16" ht="19.5" customHeight="1" x14ac:dyDescent="0.2">
      <c r="B20" s="26"/>
      <c r="C20" s="68"/>
      <c r="D20" s="69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70" t="s">
        <v>25</v>
      </c>
      <c r="D22" s="67"/>
      <c r="E22" s="73" t="str">
        <f>VLOOKUP(C10,'Formato descripción HU'!B6:O15,12,0)</f>
        <v>Validar alertas con datos erróneos o vacíos. Ingresar con cuenta válida, verificar rol y navegar sin perder la sesión.</v>
      </c>
      <c r="F22" s="74"/>
      <c r="G22" s="74"/>
      <c r="H22" s="75"/>
      <c r="I22" s="12"/>
      <c r="J22" s="70" t="s">
        <v>13</v>
      </c>
      <c r="K22" s="67"/>
      <c r="L22" s="73" t="str">
        <f>VLOOKUP(C10,'Formato descripción HU'!B6:O15,13,0)</f>
        <v>Base fundamental del sistema. El administrador será quien cree las cuentas de los traductores</v>
      </c>
      <c r="M22" s="86"/>
      <c r="N22" s="86"/>
      <c r="O22" s="87"/>
      <c r="P22" s="27"/>
    </row>
    <row r="23" spans="2:16" ht="19.5" customHeight="1" x14ac:dyDescent="0.2">
      <c r="B23" s="26"/>
      <c r="C23" s="71"/>
      <c r="D23" s="72"/>
      <c r="E23" s="76"/>
      <c r="F23" s="77"/>
      <c r="G23" s="77"/>
      <c r="H23" s="78"/>
      <c r="I23" s="12"/>
      <c r="J23" s="71"/>
      <c r="K23" s="72"/>
      <c r="L23" s="88"/>
      <c r="M23" s="89"/>
      <c r="N23" s="89"/>
      <c r="O23" s="90"/>
      <c r="P23" s="27"/>
    </row>
    <row r="24" spans="2:16" ht="19.5" customHeight="1" x14ac:dyDescent="0.2">
      <c r="B24" s="26"/>
      <c r="C24" s="68"/>
      <c r="D24" s="69"/>
      <c r="E24" s="79"/>
      <c r="F24" s="80"/>
      <c r="G24" s="80"/>
      <c r="H24" s="81"/>
      <c r="I24" s="12"/>
      <c r="J24" s="68"/>
      <c r="K24" s="69"/>
      <c r="L24" s="91"/>
      <c r="M24" s="92"/>
      <c r="N24" s="92"/>
      <c r="O24" s="93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Jaime Cabezas</cp:lastModifiedBy>
  <cp:revision/>
  <cp:lastPrinted>2026-05-13T16:36:19Z</cp:lastPrinted>
  <dcterms:created xsi:type="dcterms:W3CDTF">2019-10-21T15:37:14Z</dcterms:created>
  <dcterms:modified xsi:type="dcterms:W3CDTF">2026-07-06T16:02:26Z</dcterms:modified>
  <cp:category/>
  <cp:contentStatus/>
</cp:coreProperties>
</file>